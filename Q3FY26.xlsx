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d7693469367abd6/Desktop/"/>
    </mc:Choice>
  </mc:AlternateContent>
  <xr:revisionPtr revIDLastSave="7721" documentId="13_ncr:1_{3CE8FAC0-E8CD-4BB1-877E-CD028DFDC481}" xr6:coauthVersionLast="47" xr6:coauthVersionMax="47" xr10:uidLastSave="{DEBB2F29-E516-4186-BF44-51180C80B956}"/>
  <bookViews>
    <workbookView xWindow="-110" yWindow="-110" windowWidth="22620" windowHeight="13500" firstSheet="22" activeTab="22" xr2:uid="{00000000-000D-0000-FFFF-FFFF00000000}"/>
  </bookViews>
  <sheets>
    <sheet name="AGRO" sheetId="16" r:id="rId1"/>
    <sheet name="AUTO" sheetId="23" r:id="rId2"/>
    <sheet name="AUTO ANCILLARY " sheetId="11" r:id="rId3"/>
    <sheet name="CABLES" sheetId="30" r:id="rId4"/>
    <sheet name="CAPITAL MARKET" sheetId="13" r:id="rId5"/>
    <sheet name="CEMENT" sheetId="26" r:id="rId6"/>
    <sheet name="CHEMICAL" sheetId="29" r:id="rId7"/>
    <sheet name="DATA CENTER" sheetId="33" r:id="rId8"/>
    <sheet name="DEFENCE" sheetId="36" r:id="rId9"/>
    <sheet name="EMS" sheetId="40" r:id="rId10"/>
    <sheet name="ENGG" sheetId="5" r:id="rId11"/>
    <sheet name="FOOD" sheetId="15" r:id="rId12"/>
    <sheet name="FOOTWEAR" sheetId="48" r:id="rId13"/>
    <sheet name="FMEG" sheetId="34" r:id="rId14"/>
    <sheet name="FMCG" sheetId="42" r:id="rId15"/>
    <sheet name="GAMING" sheetId="27" r:id="rId16"/>
    <sheet name="HEALTHCARE" sheetId="49" r:id="rId17"/>
    <sheet name="HOME" sheetId="46" r:id="rId18"/>
    <sheet name="HOSPITALITY" sheetId="14" r:id="rId19"/>
    <sheet name="HR" sheetId="25" r:id="rId20"/>
    <sheet name="INFRA" sheetId="22" r:id="rId21"/>
    <sheet name="INSURANCE" sheetId="17" r:id="rId22"/>
    <sheet name="IT" sheetId="9" r:id="rId23"/>
    <sheet name="JEWELLERY" sheetId="39" r:id="rId24"/>
    <sheet name="LOGISTIC" sheetId="19" r:id="rId25"/>
    <sheet name="MACHINE" sheetId="50" r:id="rId26"/>
    <sheet name="MEDIA" sheetId="12" r:id="rId27"/>
    <sheet name="METALS" sheetId="28" r:id="rId28"/>
    <sheet name="MINING &amp; MATERIALS" sheetId="3" r:id="rId29"/>
    <sheet name="MISC" sheetId="41" r:id="rId30"/>
    <sheet name="NBFC" sheetId="8" r:id="rId31"/>
    <sheet name="OIL &amp; GAS" sheetId="20" r:id="rId32"/>
    <sheet name="PACKAGING" sheetId="47" r:id="rId33"/>
    <sheet name="PAINT" sheetId="38" r:id="rId34"/>
    <sheet name="PAPER" sheetId="52" r:id="rId35"/>
    <sheet name="PHARMA" sheetId="31" r:id="rId36"/>
    <sheet name="PLASTIC" sheetId="10" r:id="rId37"/>
    <sheet name="PIPES" sheetId="44" r:id="rId38"/>
    <sheet name="POWER" sheetId="4" r:id="rId39"/>
    <sheet name="PVT BANK" sheetId="24" r:id="rId40"/>
    <sheet name="PSU BANK" sheetId="18" r:id="rId41"/>
    <sheet name="PUMPS" sheetId="45" r:id="rId42"/>
    <sheet name="RAILWAY" sheetId="53" r:id="rId43"/>
    <sheet name="REALTY" sheetId="32" r:id="rId44"/>
    <sheet name="RENEWABLE" sheetId="21" r:id="rId45"/>
    <sheet name="RETAIL" sheetId="7" r:id="rId46"/>
    <sheet name="SIN STOCKS" sheetId="1" r:id="rId47"/>
    <sheet name="SUGAR" sheetId="37" r:id="rId48"/>
    <sheet name="TEA &amp; COFFEE" sheetId="51" r:id="rId49"/>
    <sheet name="TEXTILE" sheetId="2" r:id="rId50"/>
    <sheet name="TELECOM" sheetId="6" r:id="rId51"/>
    <sheet name="TYRE" sheetId="35" r:id="rId52"/>
    <sheet name="WASTE MANAGEMENT" sheetId="43" r:id="rId53"/>
    <sheet name="Z" sheetId="54" r:id="rId5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6" i="9" l="1"/>
  <c r="F23" i="38"/>
  <c r="F43" i="10"/>
  <c r="F87" i="32"/>
  <c r="F45" i="12"/>
  <c r="F98" i="13"/>
  <c r="F23" i="51"/>
  <c r="F15" i="45"/>
  <c r="F77" i="5"/>
  <c r="F91" i="22"/>
  <c r="F75" i="5"/>
  <c r="F43" i="34"/>
  <c r="F175" i="29"/>
  <c r="F89" i="16"/>
  <c r="F202" i="11"/>
  <c r="F178" i="8"/>
  <c r="F91" i="20"/>
  <c r="F87" i="16"/>
  <c r="F62" i="49"/>
  <c r="F85" i="32" l="1"/>
  <c r="F214" i="9"/>
  <c r="F29" i="35"/>
  <c r="F27" i="50"/>
  <c r="F89" i="14"/>
  <c r="F60" i="49"/>
  <c r="F45" i="47"/>
  <c r="F87" i="14"/>
  <c r="F113" i="15"/>
  <c r="F173" i="29"/>
  <c r="F171" i="29"/>
  <c r="F212" i="9"/>
  <c r="F62" i="36"/>
  <c r="F85" i="14"/>
  <c r="F111" i="15"/>
  <c r="F73" i="5"/>
  <c r="F237" i="31"/>
  <c r="F11" i="33"/>
  <c r="F119" i="4"/>
  <c r="F55" i="21"/>
  <c r="F210" i="9"/>
  <c r="F29" i="53"/>
  <c r="F83" i="32"/>
  <c r="F81" i="32"/>
  <c r="F27" i="35"/>
  <c r="F200" i="11"/>
  <c r="F117" i="4"/>
  <c r="F184" i="28"/>
  <c r="F83" i="14"/>
  <c r="F43" i="12"/>
  <c r="F235" i="31"/>
  <c r="F21" i="38"/>
  <c r="F57" i="46"/>
  <c r="F85" i="16"/>
  <c r="F198" i="11"/>
  <c r="F197" i="11"/>
  <c r="F208" i="9"/>
  <c r="F19" i="3"/>
  <c r="F195" i="11"/>
  <c r="F83" i="16"/>
  <c r="F182" i="28"/>
  <c r="F58" i="49"/>
  <c r="F71" i="5"/>
  <c r="F21" i="51"/>
  <c r="F81" i="14"/>
  <c r="F115" i="4"/>
  <c r="F89" i="22"/>
  <c r="F89" i="20"/>
  <c r="F55" i="39"/>
  <c r="F193" i="11"/>
  <c r="F113" i="4"/>
  <c r="F169" i="29"/>
  <c r="F233" i="31"/>
  <c r="F19" i="51"/>
  <c r="F79" i="32"/>
  <c r="F81" i="16"/>
  <c r="F180" i="28"/>
  <c r="F96" i="13"/>
  <c r="F191" i="11"/>
  <c r="F109" i="15"/>
  <c r="F231" i="31"/>
  <c r="F178" i="28"/>
  <c r="F151" i="2"/>
  <c r="F36" i="1"/>
  <c r="F35" i="1"/>
  <c r="F87" i="22"/>
  <c r="F229" i="31"/>
  <c r="F176" i="8"/>
  <c r="F167" i="29"/>
  <c r="F87" i="20"/>
  <c r="F53" i="21"/>
  <c r="F174" i="28"/>
  <c r="F227" i="31"/>
  <c r="F174" i="8"/>
  <c r="F51" i="21"/>
  <c r="F225" i="31"/>
  <c r="F28" i="40"/>
  <c r="F33" i="44"/>
  <c r="F94" i="13"/>
  <c r="F43" i="47"/>
  <c r="F39" i="37"/>
  <c r="F223" i="31"/>
  <c r="F172" i="28"/>
  <c r="F69" i="5"/>
  <c r="F149" i="2"/>
  <c r="F13" i="45"/>
  <c r="F170" i="28"/>
  <c r="F107" i="15"/>
  <c r="F147" i="2"/>
  <c r="F145" i="2"/>
  <c r="F189" i="11"/>
  <c r="F39" i="30"/>
  <c r="F221" i="31"/>
  <c r="F111" i="4"/>
  <c r="F79" i="16"/>
  <c r="F172" i="8"/>
  <c r="F165" i="29"/>
  <c r="F168" i="28"/>
  <c r="F85" i="20"/>
  <c r="F56" i="49"/>
  <c r="F77" i="16"/>
  <c r="F109" i="4"/>
  <c r="F41" i="10"/>
  <c r="F75" i="16"/>
  <c r="F105" i="15"/>
  <c r="F170" i="8"/>
  <c r="F163" i="29"/>
  <c r="F83" i="20"/>
  <c r="F206" i="9"/>
  <c r="F73" i="16"/>
  <c r="F168" i="8"/>
  <c r="F204" i="9"/>
  <c r="F71" i="16"/>
  <c r="F166" i="28"/>
  <c r="F219" i="31"/>
  <c r="F161" i="29"/>
  <c r="F217" i="31"/>
  <c r="F215" i="31"/>
  <c r="F187" i="11"/>
  <c r="F60" i="36"/>
  <c r="F107" i="4"/>
  <c r="F213" i="31"/>
  <c r="F85" i="22"/>
  <c r="F67" i="5"/>
  <c r="F83" i="22"/>
  <c r="F202" i="9"/>
  <c r="F33" i="1"/>
  <c r="F164" i="28"/>
  <c r="F39" i="10"/>
  <c r="F17" i="3"/>
  <c r="F65" i="5"/>
  <c r="F63" i="5"/>
  <c r="F61" i="5"/>
  <c r="F143" i="2"/>
  <c r="F141" i="2"/>
  <c r="F51" i="41"/>
  <c r="F139" i="2"/>
  <c r="F81" i="20"/>
  <c r="F162" i="28"/>
  <c r="F211" i="31"/>
  <c r="F103" i="15"/>
  <c r="F41" i="47"/>
  <c r="F77" i="32"/>
  <c r="F37" i="10"/>
  <c r="F31" i="44"/>
  <c r="F30" i="7"/>
  <c r="F137" i="2"/>
  <c r="F79" i="20"/>
  <c r="F75" i="32"/>
  <c r="F55" i="46"/>
  <c r="F25" i="50"/>
  <c r="F160" i="28"/>
  <c r="F35" i="10"/>
  <c r="F81" i="22"/>
  <c r="F200" i="9"/>
  <c r="F79" i="14"/>
  <c r="F21" i="25"/>
  <c r="F19" i="38"/>
  <c r="F57" i="19"/>
  <c r="F135" i="2"/>
  <c r="F37" i="37"/>
  <c r="F101" i="15"/>
  <c r="F99" i="15"/>
  <c r="F159" i="29"/>
  <c r="F158" i="28"/>
  <c r="F35" i="37"/>
  <c r="F77" i="20"/>
  <c r="F185" i="11"/>
  <c r="F133" i="2"/>
  <c r="F31" i="1"/>
  <c r="F131" i="2"/>
  <c r="F97" i="15"/>
  <c r="F37" i="30"/>
  <c r="F59" i="5"/>
  <c r="F69" i="16"/>
  <c r="F35" i="30"/>
  <c r="F53" i="46"/>
  <c r="F25" i="35"/>
  <c r="F37" i="47"/>
  <c r="F157" i="29"/>
  <c r="F155" i="29"/>
  <c r="F53" i="39"/>
  <c r="F79" i="22"/>
  <c r="F183" i="11"/>
  <c r="F41" i="12"/>
  <c r="F67" i="16"/>
  <c r="F58" i="36"/>
  <c r="F56" i="36"/>
  <c r="F51" i="46"/>
  <c r="F33" i="10"/>
  <c r="F77" i="22"/>
  <c r="F51" i="39"/>
  <c r="F23" i="35"/>
  <c r="F198" i="9"/>
  <c r="F166" i="8"/>
  <c r="F49" i="46"/>
  <c r="F196" i="9"/>
  <c r="F49" i="41"/>
  <c r="F75" i="22"/>
  <c r="F156" i="28"/>
  <c r="F33" i="37"/>
  <c r="F209" i="31"/>
  <c r="F75" i="20"/>
  <c r="F49" i="23"/>
  <c r="F47" i="46"/>
  <c r="F164" i="8"/>
  <c r="F27" i="53"/>
  <c r="F129" i="2"/>
  <c r="F49" i="39"/>
  <c r="F194" i="9"/>
  <c r="F127" i="2"/>
  <c r="F33" i="30"/>
  <c r="F19" i="25"/>
  <c r="F31" i="37"/>
  <c r="F125" i="2"/>
  <c r="F65" i="16"/>
  <c r="F207" i="31"/>
  <c r="F21" i="35"/>
  <c r="F54" i="36"/>
  <c r="F33" i="42"/>
  <c r="F92" i="13"/>
  <c r="F153" i="29"/>
  <c r="F205" i="31"/>
  <c r="F151" i="29"/>
  <c r="F77" i="14"/>
  <c r="F181" i="11"/>
  <c r="F149" i="29"/>
  <c r="F179" i="11"/>
  <c r="F177" i="11"/>
  <c r="F35" i="47"/>
  <c r="F73" i="22"/>
  <c r="F73" i="20"/>
  <c r="F95" i="15"/>
  <c r="F123" i="2"/>
  <c r="F71" i="20"/>
  <c r="F69" i="20"/>
  <c r="F175" i="11"/>
  <c r="F203" i="31"/>
  <c r="F121" i="2"/>
  <c r="F173" i="11"/>
  <c r="F47" i="41"/>
  <c r="F25" i="53"/>
  <c r="F171" i="11"/>
  <c r="F119" i="2"/>
  <c r="F57" i="5"/>
  <c r="F154" i="28"/>
  <c r="F169" i="11"/>
  <c r="F75" i="14"/>
  <c r="F67" i="20"/>
  <c r="F105" i="4"/>
  <c r="F29" i="44"/>
  <c r="F152" i="28"/>
  <c r="F93" i="15"/>
  <c r="F52" i="36"/>
  <c r="F50" i="36"/>
  <c r="F103" i="4"/>
  <c r="F201" i="31"/>
  <c r="F101" i="4"/>
  <c r="F199" i="31"/>
  <c r="F145" i="29"/>
  <c r="F91" i="15"/>
  <c r="F143" i="29"/>
  <c r="F55" i="19"/>
  <c r="F17" i="25"/>
  <c r="F71" i="14"/>
  <c r="F167" i="11"/>
  <c r="F48" i="36"/>
  <c r="F165" i="11"/>
  <c r="F99" i="4"/>
  <c r="F53" i="19"/>
  <c r="F55" i="5"/>
  <c r="F45" i="46"/>
  <c r="F90" i="13"/>
  <c r="F23" i="50"/>
  <c r="F17" i="38"/>
  <c r="F162" i="8"/>
  <c r="F53" i="5"/>
  <c r="F150" i="28"/>
  <c r="F160" i="8"/>
  <c r="F141" i="29"/>
  <c r="F28" i="7"/>
  <c r="F139" i="29"/>
  <c r="F148" i="28"/>
  <c r="F117" i="2"/>
  <c r="F45" i="41"/>
  <c r="F13" i="48"/>
  <c r="F21" i="50"/>
  <c r="F17" i="51"/>
  <c r="F192" i="9"/>
  <c r="F39" i="12"/>
  <c r="F47" i="39"/>
  <c r="F46" i="36"/>
  <c r="F21" i="52"/>
  <c r="F163" i="11"/>
  <c r="F197" i="31"/>
  <c r="F44" i="36"/>
  <c r="F146" i="28"/>
  <c r="F43" i="46"/>
  <c r="F144" i="28"/>
  <c r="F71" i="22"/>
  <c r="F31" i="42"/>
  <c r="F23" i="53"/>
  <c r="F195" i="31"/>
  <c r="F88" i="13"/>
  <c r="F137" i="29"/>
  <c r="F193" i="31"/>
  <c r="F161" i="11"/>
  <c r="F19" i="35"/>
  <c r="F190" i="9"/>
  <c r="F115" i="2"/>
  <c r="F142" i="28"/>
  <c r="F135" i="29"/>
  <c r="F41" i="46"/>
  <c r="F69" i="14"/>
  <c r="F49" i="26"/>
  <c r="F133" i="29"/>
  <c r="F188" i="9"/>
  <c r="F191" i="31"/>
  <c r="F9" i="33"/>
  <c r="F51" i="19"/>
  <c r="F31" i="30"/>
  <c r="F186" i="9"/>
  <c r="F189" i="31"/>
  <c r="F54" i="49"/>
  <c r="F97" i="4"/>
  <c r="F140" i="28"/>
  <c r="F15" i="25"/>
  <c r="F73" i="32"/>
  <c r="F15" i="3"/>
  <c r="F187" i="31"/>
  <c r="F51" i="5"/>
  <c r="F71" i="32"/>
  <c r="F131" i="29"/>
  <c r="F39" i="46"/>
  <c r="F183" i="31"/>
  <c r="F29" i="42"/>
  <c r="F184" i="9"/>
  <c r="F49" i="19"/>
  <c r="F31" i="47"/>
  <c r="F181" i="31"/>
  <c r="F179" i="31"/>
  <c r="F182" i="9"/>
  <c r="F113" i="2"/>
  <c r="F45" i="39"/>
  <c r="F158" i="8"/>
  <c r="F67" i="14"/>
  <c r="F41" i="34"/>
  <c r="F65" i="14"/>
  <c r="F159" i="11"/>
  <c r="F29" i="10"/>
  <c r="F111" i="2"/>
  <c r="F43" i="41"/>
  <c r="F177" i="31"/>
  <c r="F157" i="11"/>
  <c r="F180" i="9"/>
  <c r="F175" i="31"/>
  <c r="F41" i="41"/>
  <c r="F155" i="11"/>
  <c r="F178" i="9"/>
  <c r="F39" i="41"/>
  <c r="F129" i="29"/>
  <c r="F127" i="29"/>
  <c r="F176" i="9"/>
  <c r="F37" i="12"/>
  <c r="F63" i="16"/>
  <c r="F138" i="28"/>
  <c r="F30" i="17"/>
  <c r="F84" i="13"/>
  <c r="F29" i="47"/>
  <c r="F43" i="39"/>
  <c r="F69" i="32"/>
  <c r="F65" i="20"/>
  <c r="F21" i="53"/>
  <c r="F89" i="15"/>
  <c r="F87" i="15"/>
  <c r="F153" i="11"/>
  <c r="F27" i="47"/>
  <c r="F136" i="28"/>
  <c r="F151" i="11"/>
  <c r="F19" i="53"/>
  <c r="F27" i="10"/>
  <c r="F19" i="52"/>
  <c r="F25" i="47"/>
  <c r="F173" i="31"/>
  <c r="F123" i="29"/>
  <c r="F109" i="2"/>
  <c r="F37" i="41"/>
  <c r="F40" i="36"/>
  <c r="F63" i="14"/>
  <c r="F95" i="4"/>
  <c r="F149" i="11"/>
  <c r="F107" i="2"/>
  <c r="F85" i="15"/>
  <c r="F174" i="9"/>
  <c r="F147" i="11"/>
  <c r="F145" i="11"/>
  <c r="F47" i="26"/>
  <c r="F41" i="39"/>
  <c r="F49" i="21"/>
  <c r="F39" i="39"/>
  <c r="F134" i="28"/>
  <c r="F171" i="31"/>
  <c r="F45" i="26"/>
  <c r="F93" i="4"/>
  <c r="F17" i="53"/>
  <c r="F91" i="4"/>
  <c r="F105" i="2"/>
  <c r="F103" i="2"/>
  <c r="F83" i="15"/>
  <c r="F101" i="2"/>
  <c r="F69" i="22"/>
  <c r="F26" i="7"/>
  <c r="F25" i="7"/>
  <c r="F121" i="29"/>
  <c r="F169" i="31"/>
  <c r="F52" i="49"/>
  <c r="F51" i="49"/>
  <c r="F47" i="23"/>
  <c r="F119" i="29"/>
  <c r="F89" i="4"/>
  <c r="F67" i="22"/>
  <c r="F143" i="11"/>
  <c r="F61" i="14"/>
  <c r="F65" i="22"/>
  <c r="F99" i="2"/>
  <c r="F45" i="23"/>
  <c r="F141" i="11"/>
  <c r="F59" i="14"/>
  <c r="F139" i="11"/>
  <c r="F172" i="9"/>
  <c r="F87" i="4"/>
  <c r="F156" i="8"/>
  <c r="F19" i="50"/>
  <c r="F167" i="31"/>
  <c r="F97" i="2"/>
  <c r="F49" i="49"/>
  <c r="F47" i="19"/>
  <c r="F47" i="49"/>
  <c r="F46" i="49"/>
  <c r="F95" i="2"/>
  <c r="F17" i="35"/>
  <c r="F81" i="15"/>
  <c r="F137" i="11"/>
  <c r="F79" i="15"/>
  <c r="F63" i="22"/>
  <c r="F63" i="20"/>
  <c r="F35" i="41"/>
  <c r="F154" i="8"/>
  <c r="F29" i="1"/>
  <c r="F17" i="52"/>
  <c r="F93" i="2"/>
  <c r="F57" i="14"/>
  <c r="F170" i="9"/>
  <c r="F39" i="34"/>
  <c r="F27" i="44"/>
  <c r="F23" i="47"/>
  <c r="F57" i="16"/>
  <c r="F45" i="19"/>
  <c r="F85" i="4"/>
  <c r="F83" i="4"/>
  <c r="F61" i="22"/>
  <c r="F77" i="15"/>
  <c r="F67" i="32"/>
  <c r="F132" i="28"/>
  <c r="F152" i="8"/>
  <c r="F59" i="22"/>
  <c r="F55" i="14"/>
  <c r="F130" i="28"/>
  <c r="F75" i="15"/>
  <c r="F27" i="1"/>
  <c r="F11" i="45"/>
  <c r="F65" i="32"/>
  <c r="F58" i="24"/>
  <c r="F44" i="49"/>
  <c r="F25" i="44"/>
  <c r="F82" i="13"/>
  <c r="F43" i="23"/>
  <c r="F168" i="9"/>
  <c r="F150" i="8"/>
  <c r="F17" i="50"/>
  <c r="F63" i="32"/>
  <c r="F166" i="9"/>
  <c r="F43" i="26"/>
  <c r="F55" i="16"/>
  <c r="F73" i="15"/>
  <c r="F7" i="33"/>
  <c r="F37" i="39"/>
  <c r="F53" i="16"/>
  <c r="F27" i="37"/>
  <c r="F51" i="16"/>
  <c r="F61" i="32"/>
  <c r="F148" i="8"/>
  <c r="F71" i="15" l="1"/>
  <c r="F25" i="37"/>
  <c r="F35" i="39"/>
  <c r="F81" i="4"/>
  <c r="F91" i="2"/>
  <c r="F21" i="47"/>
  <c r="F33" i="39"/>
  <c r="F31" i="41"/>
  <c r="F49" i="5"/>
  <c r="F23" i="37"/>
  <c r="F69" i="15"/>
  <c r="F43" i="19"/>
  <c r="F31" i="39"/>
  <c r="F117" i="29"/>
  <c r="F135" i="11"/>
  <c r="F21" i="37"/>
  <c r="F49" i="16"/>
  <c r="F23" i="44"/>
  <c r="F128" i="28"/>
  <c r="F61" i="20"/>
  <c r="F41" i="23"/>
  <c r="F53" i="14"/>
  <c r="F25" i="10"/>
  <c r="F37" i="46"/>
  <c r="F67" i="15"/>
  <c r="F39" i="23"/>
  <c r="F11" i="48"/>
  <c r="F79" i="4"/>
  <c r="F165" i="31"/>
  <c r="F126" i="28"/>
  <c r="F115" i="29"/>
  <c r="F133" i="11"/>
  <c r="F124" i="28"/>
  <c r="F42" i="49"/>
  <c r="F89" i="2"/>
  <c r="F15" i="50"/>
  <c r="F23" i="10"/>
  <c r="F27" i="6"/>
  <c r="F15" i="51"/>
  <c r="F131" i="11"/>
  <c r="F65" i="15"/>
  <c r="F113" i="29"/>
  <c r="F129" i="11"/>
  <c r="F77" i="4"/>
  <c r="F163" i="31"/>
  <c r="F13" i="51"/>
  <c r="F15" i="52"/>
  <c r="F146" i="8"/>
  <c r="F87" i="2"/>
  <c r="F164" i="9"/>
  <c r="F29" i="30"/>
  <c r="F161" i="31"/>
  <c r="F111" i="29"/>
  <c r="F59" i="32"/>
  <c r="F26" i="40"/>
  <c r="F25" i="40"/>
  <c r="F29" i="39"/>
  <c r="F162" i="9"/>
  <c r="F41" i="19"/>
  <c r="F144" i="8"/>
  <c r="F80" i="13"/>
  <c r="F63" i="15"/>
  <c r="F47" i="5"/>
  <c r="F78" i="13"/>
  <c r="F61" i="15"/>
  <c r="F127" i="11"/>
  <c r="F45" i="5"/>
  <c r="F159" i="31"/>
  <c r="F160" i="9"/>
  <c r="F159" i="9"/>
  <c r="F38" i="36"/>
  <c r="F157" i="9"/>
  <c r="F21" i="10"/>
  <c r="F35" i="12"/>
  <c r="F9" i="48"/>
  <c r="F125" i="11"/>
  <c r="F59" i="20"/>
  <c r="F157" i="31"/>
  <c r="F142" i="8"/>
  <c r="F155" i="31"/>
  <c r="F109" i="29"/>
  <c r="F155" i="9"/>
  <c r="F47" i="16"/>
  <c r="F153" i="31"/>
  <c r="F43" i="5"/>
  <c r="F76" i="13"/>
  <c r="F151" i="31"/>
  <c r="F107" i="29"/>
  <c r="F36" i="36"/>
  <c r="F40" i="49"/>
  <c r="F105" i="29"/>
  <c r="F140" i="8"/>
  <c r="F11" i="51"/>
  <c r="F19" i="47"/>
  <c r="F51" i="14"/>
  <c r="F123" i="11"/>
  <c r="F122" i="28"/>
  <c r="F39" i="26"/>
  <c r="F57" i="20"/>
  <c r="F41" i="5"/>
  <c r="F138" i="8"/>
  <c r="F85" i="2"/>
  <c r="F103" i="29"/>
  <c r="F55" i="20"/>
  <c r="F54" i="20"/>
  <c r="F121" i="11"/>
  <c r="F39" i="5"/>
  <c r="F13" i="50"/>
  <c r="F45" i="16"/>
  <c r="F33" i="12"/>
  <c r="F57" i="22"/>
  <c r="F75" i="4"/>
  <c r="F153" i="9"/>
  <c r="F119" i="11"/>
  <c r="F120" i="28"/>
  <c r="F49" i="14"/>
  <c r="F136" i="8"/>
  <c r="F15" i="38"/>
  <c r="F134" i="8"/>
  <c r="F151" i="9"/>
  <c r="F17" i="47"/>
  <c r="F149" i="31"/>
  <c r="F73" i="4"/>
  <c r="F34" i="36"/>
  <c r="F147" i="31"/>
  <c r="F38" i="49"/>
  <c r="F55" i="22"/>
  <c r="F145" i="31"/>
  <c r="F43" i="16"/>
  <c r="F101" i="29"/>
  <c r="F15" i="53"/>
  <c r="F83" i="2"/>
  <c r="F99" i="29"/>
  <c r="F143" i="31"/>
  <c r="F118" i="28"/>
  <c r="F41" i="16"/>
  <c r="F13" i="52"/>
  <c r="F59" i="15"/>
  <c r="F23" i="7"/>
  <c r="F25" i="1"/>
  <c r="F117" i="11"/>
  <c r="F15" i="47"/>
  <c r="F19" i="37"/>
  <c r="F141" i="31"/>
  <c r="F53" i="22"/>
  <c r="F116" i="28"/>
  <c r="F81" i="2"/>
  <c r="F132" i="8"/>
  <c r="F51" i="22"/>
  <c r="F71" i="4"/>
  <c r="F47" i="14"/>
  <c r="F27" i="39"/>
  <c r="F25" i="39" l="1"/>
  <c r="F23" i="39"/>
  <c r="F47" i="21"/>
  <c r="F57" i="32"/>
  <c r="F114" i="28"/>
  <c r="F27" i="42"/>
  <c r="F9" i="45"/>
  <c r="F112" i="28"/>
  <c r="F49" i="22"/>
  <c r="F79" i="2"/>
  <c r="F32" i="36"/>
  <c r="F27" i="30"/>
  <c r="F28" i="17"/>
  <c r="F110" i="28"/>
  <c r="F139" i="31"/>
  <c r="F39" i="19"/>
  <c r="F137" i="31"/>
  <c r="F17" i="37"/>
  <c r="F13" i="25"/>
  <c r="F37" i="23"/>
  <c r="F135" i="31"/>
  <c r="F45" i="14"/>
  <c r="F115" i="11"/>
  <c r="F13" i="3"/>
  <c r="F149" i="9"/>
  <c r="F23" i="40"/>
  <c r="F133" i="31"/>
  <c r="F9" i="51"/>
  <c r="F37" i="5"/>
  <c r="F130" i="8"/>
  <c r="F31" i="12"/>
  <c r="F69" i="4"/>
  <c r="F145" i="9"/>
  <c r="F131" i="31"/>
  <c r="F108" i="28"/>
  <c r="F57" i="15"/>
  <c r="F47" i="22"/>
  <c r="F129" i="31"/>
  <c r="F11" i="52"/>
  <c r="F25" i="6"/>
  <c r="F106" i="28"/>
  <c r="F39" i="16"/>
  <c r="F37" i="34"/>
  <c r="F74" i="13"/>
  <c r="F37" i="19"/>
  <c r="F9" i="43"/>
  <c r="F35" i="34"/>
  <c r="F43" i="22"/>
  <c r="F30" i="36"/>
  <c r="F113" i="11"/>
  <c r="F67" i="4"/>
  <c r="F7" i="45"/>
  <c r="F104" i="28"/>
  <c r="F43" i="14"/>
  <c r="F19" i="10"/>
  <c r="F77" i="2"/>
  <c r="F36" i="49"/>
  <c r="F125" i="31"/>
  <c r="F45" i="21"/>
  <c r="F75" i="2"/>
  <c r="F111" i="11"/>
  <c r="F109" i="11"/>
  <c r="F11" i="3"/>
  <c r="F123" i="31"/>
  <c r="F41" i="14"/>
  <c r="F65" i="4"/>
  <c r="F37" i="16"/>
  <c r="F41" i="22"/>
  <c r="F121" i="31"/>
  <c r="F35" i="19"/>
  <c r="F13" i="53"/>
  <c r="F13" i="38"/>
  <c r="F21" i="44"/>
  <c r="F128" i="8"/>
  <c r="F21" i="7"/>
  <c r="F23" i="6"/>
  <c r="F39" i="22"/>
  <c r="F21" i="6"/>
  <c r="F33" i="34"/>
  <c r="F37" i="26"/>
  <c r="F73" i="2"/>
  <c r="F119" i="31"/>
  <c r="F107" i="11"/>
  <c r="F105" i="11"/>
  <c r="F19" i="44"/>
  <c r="F55" i="32"/>
  <c r="F126" i="8"/>
  <c r="F55" i="15"/>
  <c r="F71" i="2"/>
  <c r="F117" i="31"/>
  <c r="F115" i="31"/>
  <c r="F52" i="20"/>
  <c r="F102" i="28"/>
  <c r="F43" i="21"/>
  <c r="F50" i="20"/>
  <c r="F35" i="5"/>
  <c r="F34" i="49"/>
  <c r="F63" i="4"/>
  <c r="F61" i="4"/>
  <c r="F29" i="12"/>
  <c r="F113" i="31"/>
  <c r="F27" i="41"/>
  <c r="F15" i="37"/>
  <c r="F100" i="28"/>
  <c r="F103" i="11"/>
  <c r="F7" i="51"/>
  <c r="F33" i="19"/>
  <c r="F98" i="28"/>
  <c r="F32" i="49"/>
  <c r="F31" i="49"/>
  <c r="F48" i="20"/>
  <c r="F37" i="22"/>
  <c r="F33" i="5"/>
  <c r="F33" i="23"/>
  <c r="F32" i="23"/>
  <c r="F11" i="53"/>
  <c r="F19" i="6"/>
  <c r="F101" i="11"/>
  <c r="F59" i="4"/>
  <c r="F35" i="22"/>
  <c r="F29" i="49"/>
  <c r="F17" i="10"/>
  <c r="F33" i="22"/>
  <c r="F26" i="17"/>
  <c r="F5" i="45"/>
  <c r="F57" i="4"/>
  <c r="F99" i="11"/>
  <c r="F17" i="44"/>
  <c r="F13" i="47"/>
  <c r="F69" i="2"/>
  <c r="F111" i="31"/>
  <c r="F15" i="44"/>
  <c r="F53" i="32"/>
  <c r="F124" i="8"/>
  <c r="F46" i="20"/>
  <c r="F109" i="31"/>
  <c r="F72" i="13"/>
  <c r="F30" i="23"/>
  <c r="F27" i="18"/>
  <c r="F67" i="2"/>
  <c r="F21" i="39"/>
  <c r="F97" i="29"/>
  <c r="F65" i="2"/>
  <c r="F97" i="11"/>
  <c r="F35" i="46"/>
  <c r="F122" i="8"/>
  <c r="F11" i="47"/>
  <c r="F53" i="15"/>
  <c r="F51" i="15"/>
  <c r="F15" i="35"/>
  <c r="F9" i="3"/>
  <c r="F63" i="2"/>
  <c r="F95" i="11"/>
  <c r="F35" i="16"/>
  <c r="F19" i="39"/>
  <c r="F9" i="53"/>
  <c r="F24" i="17"/>
  <c r="F107" i="31"/>
  <c r="F25" i="30"/>
  <c r="F15" i="10"/>
  <c r="F27" i="49"/>
  <c r="F31" i="5"/>
  <c r="F61" i="2"/>
  <c r="F23" i="30"/>
  <c r="F143" i="9"/>
  <c r="F93" i="11"/>
  <c r="F105" i="31"/>
  <c r="F120" i="8"/>
  <c r="F91" i="11"/>
  <c r="F51" i="32"/>
  <c r="F25" i="49"/>
  <c r="F19" i="7"/>
  <c r="F49" i="32"/>
  <c r="F31" i="22"/>
  <c r="F55" i="4"/>
  <c r="F95" i="29"/>
  <c r="F25" i="41"/>
  <c r="F29" i="19"/>
  <c r="F89" i="11"/>
  <c r="F21" i="30"/>
  <c r="F103" i="31"/>
  <c r="F49" i="15"/>
  <c r="F39" i="14"/>
  <c r="F141" i="9"/>
  <c r="F25" i="42"/>
  <c r="F28" i="36"/>
  <c r="F29" i="22"/>
  <c r="F59" i="2"/>
  <c r="F139" i="9"/>
  <c r="F96" i="28"/>
  <c r="F31" i="34"/>
  <c r="F11" i="50"/>
  <c r="F7" i="48"/>
  <c r="F13" i="35"/>
  <c r="F23" i="41"/>
  <c r="F13" i="37"/>
  <c r="F137" i="9"/>
  <c r="F101" i="31"/>
  <c r="F35" i="26"/>
  <c r="F99" i="31"/>
  <c r="F21" i="41"/>
  <c r="F27" i="19"/>
  <c r="F87" i="11"/>
  <c r="F94" i="28"/>
  <c r="F135" i="9"/>
  <c r="F29" i="34"/>
  <c r="F93" i="29"/>
  <c r="F17" i="39"/>
  <c r="F56" i="24"/>
  <c r="F97" i="31"/>
  <c r="F85" i="11"/>
  <c r="F33" i="26"/>
  <c r="F92" i="28"/>
  <c r="F27" i="12"/>
  <c r="F23" i="1"/>
  <c r="F11" i="37"/>
  <c r="F116" i="8"/>
  <c r="F57" i="2"/>
  <c r="F31" i="26"/>
  <c r="F133" i="9"/>
  <c r="F29" i="26"/>
  <c r="F9" i="50"/>
  <c r="F95" i="31"/>
  <c r="F131" i="9"/>
  <c r="F45" i="32"/>
  <c r="F11" i="35"/>
  <c r="F129" i="9"/>
  <c r="F128" i="9"/>
  <c r="F11" i="10"/>
  <c r="F21" i="40"/>
  <c r="F17" i="6"/>
  <c r="F27" i="22"/>
  <c r="F15" i="7"/>
  <c r="F5" i="51"/>
  <c r="F83" i="11"/>
  <c r="F53" i="4"/>
  <c r="F90" i="28"/>
  <c r="F51" i="4"/>
  <c r="F33" i="46"/>
  <c r="F19" i="41"/>
  <c r="F21" i="1"/>
  <c r="F91" i="29"/>
  <c r="F23" i="42"/>
  <c r="F44" i="20"/>
  <c r="F88" i="28"/>
  <c r="F19" i="40"/>
  <c r="F41" i="21"/>
  <c r="F126" i="9"/>
  <c r="F9" i="35"/>
  <c r="F49" i="4"/>
  <c r="F27" i="34"/>
  <c r="F17" i="41"/>
  <c r="F9" i="10"/>
  <c r="F86" i="28"/>
  <c r="F7" i="3"/>
  <c r="F114" i="8"/>
  <c r="F17" i="40"/>
  <c r="F25" i="19"/>
  <c r="F28" i="23"/>
  <c r="F70" i="13"/>
  <c r="F3" i="51"/>
  <c r="F84" i="28"/>
  <c r="F81" i="11"/>
  <c r="F45" i="15"/>
  <c r="F53" i="2"/>
  <c r="F89" i="29"/>
  <c r="F27" i="26"/>
  <c r="F47" i="4"/>
  <c r="F51" i="2"/>
  <c r="F124" i="9"/>
  <c r="F91" i="31"/>
  <c r="F122" i="9"/>
  <c r="F45" i="4"/>
  <c r="F37" i="14"/>
  <c r="F43" i="15"/>
  <c r="F43" i="32"/>
  <c r="F43" i="4"/>
  <c r="F49" i="2"/>
  <c r="F41" i="4"/>
  <c r="F42" i="20"/>
  <c r="F13" i="7"/>
  <c r="F87" i="29"/>
  <c r="F120" i="9"/>
  <c r="F39" i="4"/>
  <c r="F37" i="4"/>
  <c r="F112" i="8"/>
  <c r="F23" i="49"/>
  <c r="F35" i="14"/>
  <c r="F33" i="16"/>
  <c r="F25" i="22"/>
  <c r="F85" i="29"/>
  <c r="F118" i="9"/>
  <c r="F5" i="3"/>
  <c r="F110" i="8"/>
  <c r="F82" i="28"/>
  <c r="F25" i="34"/>
  <c r="F116" i="9"/>
  <c r="F47" i="2"/>
  <c r="F41" i="15"/>
  <c r="F54" i="24"/>
  <c r="F79" i="11"/>
  <c r="F31" i="46"/>
  <c r="F29" i="46"/>
  <c r="F108" i="8"/>
  <c r="F22" i="17"/>
  <c r="F68" i="13"/>
  <c r="F89" i="31"/>
  <c r="F45" i="2"/>
  <c r="F27" i="46"/>
  <c r="F106" i="8"/>
  <c r="F83" i="29"/>
  <c r="F77" i="11"/>
  <c r="F25" i="12"/>
  <c r="F7" i="53"/>
  <c r="F39" i="15"/>
  <c r="F25" i="46"/>
  <c r="F23" i="46"/>
  <c r="F5" i="53"/>
  <c r="F114" i="9"/>
  <c r="F21" i="42"/>
  <c r="F9" i="47"/>
  <c r="F21" i="46"/>
  <c r="F104" i="8"/>
  <c r="F75" i="11"/>
  <c r="F33" i="14"/>
  <c r="F19" i="46"/>
  <c r="B8" i="54"/>
  <c r="F3" i="54"/>
  <c r="E3" i="54"/>
  <c r="E2" i="54"/>
  <c r="C2" i="54"/>
  <c r="E1" i="54"/>
  <c r="F19" i="42"/>
  <c r="F102" i="8"/>
  <c r="F80" i="28"/>
  <c r="F23" i="19"/>
  <c r="F81" i="29"/>
  <c r="F40" i="20"/>
  <c r="F79" i="29"/>
  <c r="F87" i="31"/>
  <c r="F11" i="38"/>
  <c r="F21" i="49"/>
  <c r="F17" i="46"/>
  <c r="F25" i="26"/>
  <c r="F11" i="7"/>
  <c r="F3" i="27"/>
  <c r="F78" i="28"/>
  <c r="F29" i="5"/>
  <c r="F85" i="31"/>
  <c r="F77" i="29"/>
  <c r="F31" i="16"/>
  <c r="F15" i="46"/>
  <c r="F26" i="23"/>
  <c r="F19" i="49"/>
  <c r="F9" i="38"/>
  <c r="F15" i="6"/>
  <c r="F75" i="29"/>
  <c r="F66" i="13"/>
  <c r="F76" i="28"/>
  <c r="F15" i="41"/>
  <c r="F9" i="37"/>
  <c r="F37" i="15"/>
  <c r="F112" i="9"/>
  <c r="F73" i="11"/>
  <c r="F38" i="20"/>
  <c r="F100" i="8"/>
  <c r="F83" i="31"/>
  <c r="F29" i="16"/>
  <c r="F35" i="15"/>
  <c r="F73" i="29"/>
  <c r="F39" i="32"/>
  <c r="F13" i="6"/>
  <c r="F81" i="31"/>
  <c r="F71" i="11"/>
  <c r="F74" i="28"/>
  <c r="F11" i="6"/>
  <c r="F27" i="5"/>
  <c r="F69" i="11"/>
  <c r="F71" i="29"/>
  <c r="F69" i="29"/>
  <c r="F26" i="36"/>
  <c r="F23" i="12"/>
  <c r="F21" i="34"/>
  <c r="F31" i="14"/>
  <c r="F13" i="41"/>
  <c r="F24" i="36"/>
  <c r="F23" i="36"/>
  <c r="F17" i="49"/>
  <c r="F21" i="19"/>
  <c r="F79" i="31"/>
  <c r="F36" i="20"/>
  <c r="F96" i="8"/>
  <c r="F110" i="9"/>
  <c r="F108" i="9"/>
  <c r="F25" i="5"/>
  <c r="F24" i="23"/>
  <c r="F33" i="15"/>
  <c r="F67" i="11"/>
  <c r="F77" i="31"/>
  <c r="F76" i="31"/>
  <c r="F38" i="24"/>
  <c r="F52" i="24"/>
  <c r="F21" i="32"/>
  <c r="F5" i="32"/>
  <c r="F1" i="1"/>
  <c r="F9" i="7"/>
  <c r="F34" i="20"/>
  <c r="F33" i="20"/>
  <c r="F67" i="29"/>
  <c r="F65" i="11"/>
  <c r="F29" i="14"/>
  <c r="F31" i="20"/>
  <c r="F64" i="13"/>
  <c r="F7" i="38"/>
  <c r="F35" i="4"/>
  <c r="F39" i="21"/>
  <c r="F3" i="53"/>
  <c r="F9" i="6"/>
  <c r="F15" i="49"/>
  <c r="F23" i="26"/>
  <c r="F27" i="16"/>
  <c r="F65" i="29"/>
  <c r="F63" i="29"/>
  <c r="F106" i="9"/>
  <c r="F27" i="14"/>
  <c r="F13" i="44"/>
  <c r="F74" i="31"/>
  <c r="F63" i="11"/>
  <c r="F94" i="8"/>
  <c r="F15" i="40"/>
  <c r="F7" i="37"/>
  <c r="F13" i="40"/>
  <c r="F7" i="10"/>
  <c r="F1" i="53"/>
  <c r="F20" i="17"/>
  <c r="F43" i="2"/>
  <c r="F22" i="23"/>
  <c r="F11" i="25"/>
  <c r="F13" i="49"/>
  <c r="F92" i="8"/>
  <c r="F61" i="11"/>
  <c r="F31" i="15"/>
  <c r="F90" i="8"/>
  <c r="F104" i="9"/>
  <c r="F29" i="15"/>
  <c r="F19" i="19"/>
  <c r="F25" i="16"/>
  <c r="F18" i="23"/>
  <c r="F21" i="12"/>
  <c r="F5" i="48"/>
  <c r="F37" i="32"/>
  <c r="F19" i="30"/>
  <c r="F3" i="45"/>
  <c r="F102" i="9"/>
  <c r="F101" i="9"/>
  <c r="F7" i="47"/>
  <c r="F99" i="9"/>
  <c r="F61" i="29"/>
  <c r="F97" i="9"/>
  <c r="F23" i="22"/>
  <c r="F72" i="28"/>
  <c r="F37" i="21"/>
  <c r="F29" i="20"/>
  <c r="F7" i="50"/>
  <c r="F7" i="43"/>
  <c r="F41" i="2"/>
  <c r="F9" i="52"/>
  <c r="F21" i="36"/>
  <c r="F19" i="34"/>
  <c r="F95" i="9"/>
  <c r="F5" i="38"/>
  <c r="F93" i="9"/>
  <c r="F48" i="24"/>
  <c r="F11" i="41"/>
  <c r="F23" i="16"/>
  <c r="F17" i="19"/>
  <c r="F59" i="29"/>
  <c r="F57" i="29"/>
  <c r="F19" i="36"/>
  <c r="F27" i="20"/>
  <c r="F59" i="11"/>
  <c r="F17" i="36"/>
  <c r="F72" i="31"/>
  <c r="F35" i="21"/>
  <c r="F70" i="28"/>
  <c r="F68" i="28"/>
  <c r="F17" i="30"/>
  <c r="F11" i="40"/>
  <c r="F16" i="23"/>
  <c r="F39" i="2"/>
  <c r="F37" i="2"/>
  <c r="F11" i="44"/>
  <c r="F21" i="16"/>
  <c r="F70" i="31"/>
  <c r="F57" i="11"/>
  <c r="F66" i="28"/>
  <c r="F5" i="47"/>
  <c r="F35" i="2"/>
  <c r="F9" i="40"/>
  <c r="F33" i="4"/>
  <c r="F55" i="29"/>
  <c r="F53" i="29"/>
  <c r="F7" i="52"/>
  <c r="F68" i="31"/>
  <c r="F21" i="26"/>
  <c r="F66" i="31"/>
  <c r="F64" i="28"/>
  <c r="F25" i="18"/>
  <c r="F51" i="29"/>
  <c r="F5" i="52"/>
  <c r="F62" i="28"/>
  <c r="F23" i="5"/>
  <c r="F33" i="2"/>
  <c r="F11" i="49"/>
  <c r="F10" i="49"/>
  <c r="F88" i="8"/>
  <c r="F55" i="11"/>
  <c r="F86" i="8"/>
  <c r="F5" i="43"/>
  <c r="F15" i="19"/>
  <c r="F18" i="17"/>
  <c r="F60" i="28"/>
  <c r="F53" i="11"/>
  <c r="F31" i="4"/>
  <c r="F27" i="15"/>
  <c r="F49" i="29"/>
  <c r="F84" i="8"/>
  <c r="F21" i="22"/>
  <c r="F29" i="4"/>
  <c r="F91" i="9"/>
  <c r="F82" i="8"/>
  <c r="F13" i="19"/>
  <c r="F80" i="8"/>
  <c r="F14" i="23"/>
  <c r="F27" i="4"/>
  <c r="F15" i="39"/>
  <c r="F3" i="48"/>
  <c r="F58" i="28"/>
  <c r="F19" i="22"/>
  <c r="F8" i="49"/>
  <c r="F7" i="49"/>
  <c r="F19" i="1"/>
  <c r="F5" i="49"/>
  <c r="F25" i="4"/>
  <c r="F17" i="1"/>
  <c r="F13" i="46"/>
  <c r="F47" i="29"/>
  <c r="F56" i="28"/>
  <c r="F9" i="44"/>
  <c r="F78" i="8"/>
  <c r="F9" i="41"/>
  <c r="F19" i="16"/>
  <c r="F31" i="2"/>
  <c r="F35" i="32"/>
  <c r="F54" i="28"/>
  <c r="F11" i="46"/>
  <c r="F51" i="11"/>
  <c r="F64" i="31"/>
  <c r="F29" i="2"/>
  <c r="F52" i="28"/>
  <c r="F9" i="46"/>
  <c r="F87" i="9"/>
  <c r="F50" i="28"/>
  <c r="F49" i="28"/>
  <c r="F62" i="31"/>
  <c r="F33" i="32"/>
  <c r="F11" i="19"/>
  <c r="F27" i="2"/>
  <c r="F60" i="31"/>
  <c r="F85" i="9"/>
  <c r="F3" i="3"/>
  <c r="F58" i="31"/>
  <c r="F17" i="22"/>
  <c r="F49" i="11"/>
  <c r="F47" i="11"/>
  <c r="F45" i="29"/>
  <c r="F45" i="11"/>
  <c r="F43" i="11"/>
  <c r="F17" i="42"/>
  <c r="F5" i="37"/>
  <c r="F7" i="44"/>
  <c r="F15" i="42"/>
  <c r="F17" i="16"/>
  <c r="F31" i="32"/>
  <c r="F41" i="11"/>
  <c r="F19" i="26"/>
  <c r="F43" i="29"/>
  <c r="F3" i="43"/>
  <c r="F41" i="29"/>
  <c r="F83" i="9"/>
  <c r="F29" i="32"/>
  <c r="F81" i="9"/>
  <c r="F33" i="21"/>
  <c r="F76" i="8"/>
  <c r="F9" i="19"/>
  <c r="F15" i="22"/>
  <c r="F46" i="24"/>
  <c r="F74" i="8"/>
  <c r="F72" i="8"/>
  <c r="F3" i="52"/>
  <c r="F17" i="26"/>
  <c r="F31" i="21"/>
  <c r="F1" i="42"/>
  <c r="F13" i="42"/>
  <c r="F15" i="1"/>
  <c r="F56" i="31"/>
  <c r="F15" i="30"/>
  <c r="F3" i="49"/>
  <c r="F13" i="1"/>
  <c r="F7" i="19"/>
  <c r="F15" i="36"/>
  <c r="F25" i="20"/>
  <c r="F13" i="30" l="1"/>
  <c r="F54" i="31"/>
  <c r="F7" i="46"/>
  <c r="F77" i="9"/>
  <c r="F47" i="28"/>
  <c r="F7" i="40"/>
  <c r="F5" i="19"/>
  <c r="F7" i="41"/>
  <c r="F39" i="11"/>
  <c r="F17" i="34"/>
  <c r="F45" i="28"/>
  <c r="F11" i="42"/>
  <c r="F70" i="8"/>
  <c r="F12" i="23"/>
  <c r="F62" i="13"/>
  <c r="F52" i="31"/>
  <c r="F41" i="28"/>
  <c r="F15" i="16"/>
  <c r="F39" i="29"/>
  <c r="F19" i="12"/>
  <c r="F23" i="4"/>
  <c r="F21" i="4"/>
  <c r="F3" i="40"/>
  <c r="F68" i="8"/>
  <c r="F39" i="28"/>
  <c r="F75" i="9"/>
  <c r="F66" i="8"/>
  <c r="F37" i="29"/>
  <c r="F73" i="9"/>
  <c r="F23" i="18"/>
  <c r="F37" i="28"/>
  <c r="F15" i="34"/>
  <c r="F11" i="30"/>
  <c r="F35" i="29"/>
  <c r="F19" i="4"/>
  <c r="F13" i="22"/>
  <c r="F23" i="20"/>
  <c r="F37" i="11"/>
  <c r="F35" i="11"/>
  <c r="F33" i="29" l="1"/>
  <c r="F27" i="32"/>
  <c r="F13" i="39"/>
  <c r="F1" i="52"/>
  <c r="F25" i="14"/>
  <c r="F9" i="42"/>
  <c r="F11" i="1"/>
  <c r="F17" i="4"/>
  <c r="F42" i="24"/>
  <c r="F17" i="12"/>
  <c r="F25" i="32"/>
  <c r="F64" i="8"/>
  <c r="F7" i="35"/>
  <c r="F11" i="16"/>
  <c r="F60" i="13"/>
  <c r="F5" i="44"/>
  <c r="F35" i="28"/>
  <c r="F9" i="16"/>
  <c r="F25" i="2"/>
  <c r="F23" i="2"/>
  <c r="F13" i="34"/>
  <c r="F5" i="35"/>
  <c r="F15" i="4"/>
  <c r="F13" i="36"/>
  <c r="F23" i="15"/>
  <c r="F3" i="35"/>
  <c r="F14" i="17"/>
  <c r="F9" i="25"/>
  <c r="F33" i="11"/>
  <c r="F23" i="32"/>
  <c r="F23" i="14"/>
  <c r="F3" i="47"/>
  <c r="F48" i="31"/>
  <c r="F71" i="9"/>
  <c r="F58" i="13"/>
  <c r="F21" i="15"/>
  <c r="F62" i="8"/>
  <c r="F31" i="29"/>
  <c r="F21" i="20"/>
  <c r="F11" i="22"/>
  <c r="F56" i="13"/>
  <c r="F11" i="36"/>
  <c r="F60" i="8"/>
  <c r="F5" i="50"/>
  <c r="F9" i="22"/>
  <c r="F9" i="36"/>
  <c r="F67" i="9"/>
  <c r="F54" i="13"/>
  <c r="F21" i="14"/>
  <c r="F31" i="11"/>
  <c r="F19" i="32"/>
  <c r="F29" i="11"/>
  <c r="F9" i="30"/>
  <c r="F7" i="36"/>
  <c r="F27" i="21"/>
  <c r="F15" i="26"/>
  <c r="F11" i="34"/>
  <c r="F21" i="2"/>
  <c r="F58" i="8"/>
  <c r="F46" i="31"/>
  <c r="F56" i="8"/>
  <c r="F29" i="29"/>
  <c r="F12" i="17"/>
  <c r="F3" i="50"/>
  <c r="F1" i="51"/>
  <c r="F9" i="34"/>
  <c r="F54" i="8"/>
  <c r="F1" i="50"/>
  <c r="F3" i="44"/>
  <c r="F65" i="9"/>
  <c r="F19" i="15"/>
  <c r="F52" i="8"/>
  <c r="F44" i="31"/>
  <c r="F1" i="49"/>
  <c r="F50" i="8"/>
  <c r="F21" i="5"/>
  <c r="F48" i="8"/>
  <c r="F17" i="15"/>
  <c r="F33" i="28"/>
  <c r="F46" i="8"/>
  <c r="F42" i="31"/>
  <c r="F7" i="34"/>
  <c r="F40" i="31"/>
  <c r="F5" i="46"/>
  <c r="F52" i="13"/>
  <c r="F10" i="23"/>
  <c r="F7" i="25"/>
  <c r="F19" i="14"/>
  <c r="F19" i="2"/>
  <c r="F8" i="23"/>
  <c r="F7" i="23"/>
  <c r="F25" i="11"/>
  <c r="F63" i="9"/>
  <c r="F15" i="12"/>
  <c r="F38" i="31"/>
  <c r="F40" i="24"/>
  <c r="F23" i="11"/>
  <c r="F7" i="16"/>
  <c r="F5" i="23"/>
  <c r="F36" i="31"/>
  <c r="F50" i="13"/>
  <c r="F11" i="39"/>
  <c r="F3" i="41"/>
  <c r="F48" i="13"/>
  <c r="F19" i="5"/>
  <c r="F17" i="2"/>
  <c r="F61" i="9"/>
  <c r="F15" i="32"/>
  <c r="F13" i="12"/>
  <c r="F34" i="31"/>
  <c r="F7" i="7"/>
  <c r="F13" i="32"/>
  <c r="F1" i="48"/>
  <c r="F17" i="5"/>
  <c r="F9" i="39"/>
  <c r="F15" i="15"/>
  <c r="F13" i="15"/>
  <c r="F11" i="15"/>
  <c r="F27" i="29"/>
  <c r="F25" i="29"/>
  <c r="F7" i="39"/>
  <c r="F46" i="13"/>
  <c r="F21" i="11"/>
  <c r="F13" i="4"/>
  <c r="F5" i="25"/>
  <c r="F15" i="2"/>
  <c r="F7" i="30"/>
  <c r="F19" i="11"/>
  <c r="F7" i="22"/>
  <c r="F7" i="42"/>
  <c r="F11" i="12"/>
  <c r="F44" i="13"/>
  <c r="F11" i="32"/>
  <c r="F3" i="46"/>
  <c r="F3" i="38"/>
  <c r="F23" i="29"/>
  <c r="F5" i="7"/>
  <c r="F5" i="42"/>
  <c r="F17" i="11"/>
  <c r="F5" i="34"/>
  <c r="F19" i="20"/>
  <c r="F1" i="47"/>
  <c r="F31" i="28"/>
  <c r="F36" i="24"/>
  <c r="F34" i="24"/>
  <c r="F29" i="28"/>
  <c r="F13" i="26"/>
  <c r="F11" i="26"/>
  <c r="F17" i="14"/>
  <c r="F32" i="31"/>
  <c r="F5" i="39"/>
  <c r="F15" i="11"/>
  <c r="F27" i="28"/>
  <c r="F1" i="46"/>
  <c r="F30" i="31"/>
  <c r="F28" i="31"/>
  <c r="F27" i="31"/>
  <c r="F42" i="8"/>
  <c r="F25" i="21"/>
  <c r="F40" i="8"/>
  <c r="F5" i="36"/>
  <c r="F21" i="29"/>
  <c r="F25" i="31"/>
  <c r="F13" i="11"/>
  <c r="F25" i="28"/>
  <c r="F1" i="45"/>
  <c r="F32" i="24"/>
  <c r="F3" i="42"/>
  <c r="F30" i="24"/>
  <c r="F38" i="8"/>
  <c r="F28" i="24"/>
  <c r="F1" i="44"/>
  <c r="F17" i="20"/>
  <c r="F42" i="13"/>
  <c r="F15" i="20"/>
  <c r="F11" i="4"/>
  <c r="F36" i="8"/>
  <c r="F9" i="4"/>
  <c r="F40" i="13"/>
  <c r="F39" i="13"/>
  <c r="F57" i="9"/>
  <c r="F55" i="9"/>
  <c r="F53" i="9"/>
  <c r="F51" i="9"/>
  <c r="F23" i="21"/>
  <c r="F15" i="5"/>
  <c r="F13" i="5"/>
  <c r="F49" i="9"/>
  <c r="F23" i="31"/>
  <c r="F26" i="24"/>
  <c r="F13" i="20"/>
  <c r="F11" i="20"/>
  <c r="F10" i="17"/>
  <c r="F13" i="2"/>
  <c r="F9" i="20"/>
  <c r="F9" i="32"/>
  <c r="F24" i="24"/>
  <c r="F21" i="31"/>
  <c r="F11" i="11"/>
  <c r="F19" i="31"/>
  <c r="F1" i="43"/>
  <c r="F34" i="8"/>
  <c r="F47" i="9"/>
  <c r="F15" i="14"/>
  <c r="F45" i="9"/>
  <c r="F13" i="14"/>
  <c r="F37" i="13"/>
  <c r="F7" i="4"/>
  <c r="F9" i="1"/>
  <c r="F11" i="5"/>
  <c r="F3" i="34"/>
  <c r="F19" i="29"/>
  <c r="F3" i="7"/>
  <c r="F32" i="8"/>
  <c r="F35" i="13"/>
  <c r="F22" i="24"/>
  <c r="F17" i="31"/>
  <c r="F23" i="28"/>
  <c r="F9" i="12"/>
  <c r="F21" i="18"/>
  <c r="F43" i="9"/>
  <c r="F21" i="28"/>
  <c r="F33" i="13"/>
  <c r="F19" i="28"/>
  <c r="F30" i="8"/>
  <c r="F3" i="37"/>
  <c r="F41" i="9"/>
  <c r="F11" i="21"/>
  <c r="F21" i="21"/>
  <c r="F5" i="33"/>
  <c r="F4" i="33"/>
  <c r="F28" i="8"/>
  <c r="F9" i="26"/>
  <c r="F17" i="28"/>
  <c r="F17" i="29"/>
  <c r="F9" i="11"/>
  <c r="F5" i="30"/>
  <c r="F31" i="13"/>
  <c r="F15" i="31"/>
  <c r="F7" i="20"/>
  <c r="F8" i="17"/>
  <c r="F13" i="31"/>
  <c r="F19" i="18"/>
  <c r="F15" i="29"/>
  <c r="F9" i="15"/>
  <c r="F13" i="29"/>
  <c r="F13" i="28"/>
  <c r="F5" i="26"/>
  <c r="F7" i="11"/>
  <c r="F20" i="24"/>
  <c r="F5" i="6"/>
  <c r="F11" i="2"/>
  <c r="F3" i="39"/>
  <c r="F19" i="21"/>
  <c r="F3" i="30"/>
  <c r="F5" i="10"/>
  <c r="F9" i="2"/>
  <c r="F7" i="1"/>
  <c r="F17" i="21"/>
  <c r="F15" i="21"/>
  <c r="F13" i="21"/>
  <c r="F39" i="9"/>
  <c r="F1" i="41"/>
  <c r="F5" i="1"/>
  <c r="F1" i="40"/>
  <c r="F29" i="13"/>
  <c r="F11" i="29"/>
  <c r="F27" i="13"/>
  <c r="F26" i="8"/>
  <c r="F7" i="32"/>
  <c r="F5" i="16"/>
  <c r="F24" i="8"/>
  <c r="F1" i="39"/>
  <c r="F17" i="18"/>
  <c r="F1" i="38"/>
  <c r="F1" i="37"/>
  <c r="F9" i="5"/>
  <c r="F37" i="9"/>
  <c r="F11" i="31"/>
  <c r="F35" i="9"/>
  <c r="F11" i="28"/>
  <c r="F11" i="14"/>
  <c r="F5" i="20"/>
  <c r="F7" i="2"/>
  <c r="F33" i="9"/>
  <c r="F31" i="9"/>
  <c r="F1" i="36"/>
  <c r="F18" i="24"/>
  <c r="F29" i="9" l="1"/>
  <c r="F9" i="29"/>
  <c r="F1" i="35"/>
  <c r="F9" i="28"/>
  <c r="F5" i="4"/>
  <c r="F1" i="34"/>
  <c r="F27" i="9"/>
  <c r="F22" i="8"/>
  <c r="F21" i="8"/>
  <c r="F2" i="33"/>
  <c r="F5" i="2"/>
  <c r="F7" i="28"/>
  <c r="F5" i="11"/>
  <c r="F19" i="8"/>
  <c r="F7" i="12"/>
  <c r="F7" i="15"/>
  <c r="F3" i="4"/>
  <c r="F17" i="8"/>
  <c r="F9" i="31"/>
  <c r="F1" i="33"/>
  <c r="F16" i="24"/>
  <c r="F15" i="24"/>
  <c r="F7" i="31"/>
  <c r="F1" i="32"/>
  <c r="F5" i="31"/>
  <c r="F15" i="8"/>
  <c r="F3" i="31"/>
  <c r="F15" i="18"/>
  <c r="F12" i="24"/>
  <c r="F25" i="13"/>
  <c r="F5" i="28"/>
  <c r="F13" i="18"/>
  <c r="F3" i="26"/>
  <c r="F11" i="18"/>
  <c r="F10" i="24"/>
  <c r="F8" i="24"/>
  <c r="F7" i="24"/>
  <c r="F3" i="20"/>
  <c r="F13" i="8"/>
  <c r="F9" i="21"/>
  <c r="F1" i="31"/>
  <c r="F23" i="13"/>
  <c r="F3" i="23"/>
  <c r="F7" i="29"/>
  <c r="F5" i="22"/>
  <c r="F3" i="22"/>
  <c r="F3" i="28"/>
  <c r="F25" i="9"/>
  <c r="F11" i="8"/>
  <c r="F23" i="9"/>
  <c r="F5" i="29"/>
  <c r="F21" i="9"/>
  <c r="F3" i="25"/>
  <c r="F1" i="30"/>
  <c r="F3" i="29"/>
  <c r="F1" i="29"/>
  <c r="F7" i="5"/>
  <c r="F9" i="18"/>
  <c r="F9" i="14"/>
  <c r="F1" i="28"/>
  <c r="F19" i="9"/>
  <c r="F5" i="24"/>
  <c r="F21" i="13"/>
  <c r="F1" i="27"/>
  <c r="F3" i="2"/>
  <c r="F1" i="26"/>
  <c r="F7" i="21"/>
  <c r="F3" i="24"/>
  <c r="F1" i="25"/>
  <c r="F19" i="13"/>
  <c r="F6" i="17"/>
  <c r="F9" i="8"/>
  <c r="F7" i="14"/>
  <c r="F17" i="9"/>
  <c r="F5" i="21"/>
  <c r="F17" i="13"/>
  <c r="F3" i="6"/>
  <c r="F7" i="8"/>
  <c r="F1" i="24"/>
  <c r="F1" i="23"/>
  <c r="F5" i="12"/>
  <c r="F3" i="11"/>
  <c r="F1" i="22"/>
  <c r="F1" i="21"/>
  <c r="F15" i="13"/>
  <c r="F3" i="10"/>
  <c r="F3" i="12"/>
  <c r="F5" i="14"/>
  <c r="F1" i="20"/>
  <c r="F3" i="16"/>
  <c r="F13" i="13"/>
  <c r="F11" i="13"/>
  <c r="F6" i="18"/>
  <c r="F9" i="13"/>
  <c r="F4" i="18"/>
  <c r="F7" i="13"/>
  <c r="F5" i="13"/>
  <c r="F5" i="8"/>
  <c r="F15" i="9"/>
  <c r="F13" i="9"/>
  <c r="F5" i="5"/>
  <c r="F11" i="9"/>
  <c r="F5" i="15"/>
  <c r="F3" i="13"/>
  <c r="F4" i="17"/>
  <c r="F9" i="9"/>
  <c r="F1" i="19"/>
  <c r="F1" i="18"/>
  <c r="F2" i="17"/>
  <c r="F1" i="17"/>
  <c r="F3" i="14"/>
  <c r="F7" i="9"/>
  <c r="F5" i="9"/>
  <c r="F1" i="16"/>
  <c r="F3" i="15"/>
  <c r="F1" i="15"/>
  <c r="F1" i="14"/>
  <c r="F1" i="13"/>
  <c r="F1" i="12"/>
  <c r="F3" i="9"/>
  <c r="F1" i="11"/>
  <c r="F1" i="10"/>
  <c r="F1" i="9"/>
  <c r="F3" i="8"/>
  <c r="F1" i="8"/>
  <c r="F1" i="7"/>
  <c r="F3" i="5"/>
  <c r="F3" i="1"/>
  <c r="F1" i="5"/>
  <c r="F1" i="4"/>
  <c r="F1" i="3"/>
  <c r="F1" i="2"/>
</calcChain>
</file>

<file path=xl/sharedStrings.xml><?xml version="1.0" encoding="utf-8"?>
<sst xmlns="http://schemas.openxmlformats.org/spreadsheetml/2006/main" count="10470" uniqueCount="4290">
  <si>
    <t xml:space="preserve">AXITA </t>
  </si>
  <si>
    <t>Q3=0.07</t>
  </si>
  <si>
    <t>N9=0.12</t>
  </si>
  <si>
    <t>FY=.20</t>
  </si>
  <si>
    <t>PE</t>
  </si>
  <si>
    <t>EXPENSIVE</t>
  </si>
  <si>
    <t>GMBREW</t>
  </si>
  <si>
    <t>Q3=18.39</t>
  </si>
  <si>
    <t>N9=45</t>
  </si>
  <si>
    <t>FY=65</t>
  </si>
  <si>
    <t>CHEAP</t>
  </si>
  <si>
    <t>EIMCO ELECON</t>
  </si>
  <si>
    <t>Q3=21.7</t>
  </si>
  <si>
    <t>N9=56</t>
  </si>
  <si>
    <t>FY=87</t>
  </si>
  <si>
    <t>FAIRLY VALUED</t>
  </si>
  <si>
    <t>TARIL</t>
  </si>
  <si>
    <t>Q3=2.46</t>
  </si>
  <si>
    <t>N9=5.83</t>
  </si>
  <si>
    <t>FY=9</t>
  </si>
  <si>
    <t>ELECON</t>
  </si>
  <si>
    <t>Q3=3.21</t>
  </si>
  <si>
    <t>N9=15</t>
  </si>
  <si>
    <t>FY=21</t>
  </si>
  <si>
    <t>GLOBUS SPR</t>
  </si>
  <si>
    <t>Q3=10.59</t>
  </si>
  <si>
    <t>N9=24.33</t>
  </si>
  <si>
    <t>FY=35</t>
  </si>
  <si>
    <t>TEJAS</t>
  </si>
  <si>
    <t>Q3=LOSS</t>
  </si>
  <si>
    <t>N9=LOSS</t>
  </si>
  <si>
    <t>FY=LOSS</t>
  </si>
  <si>
    <t>HAWA ENG</t>
  </si>
  <si>
    <t>Q3=1.97</t>
  </si>
  <si>
    <t>N9=6.37</t>
  </si>
  <si>
    <t>FY=6</t>
  </si>
  <si>
    <t>DMART</t>
  </si>
  <si>
    <t>Q3=13.15</t>
  </si>
  <si>
    <t>N9=35.56</t>
  </si>
  <si>
    <t>FY=49</t>
  </si>
  <si>
    <t>IREDA</t>
  </si>
  <si>
    <t>Q3=2.09</t>
  </si>
  <si>
    <t>N9=4.97</t>
  </si>
  <si>
    <t>FY=7.2</t>
  </si>
  <si>
    <t>MAH SCOOTER</t>
  </si>
  <si>
    <t>Q3=3.6</t>
  </si>
  <si>
    <t>N9=268</t>
  </si>
  <si>
    <t>FY=300</t>
  </si>
  <si>
    <t>TCS</t>
  </si>
  <si>
    <t>Q3=29.45</t>
  </si>
  <si>
    <t>N9=98</t>
  </si>
  <si>
    <t>FY=130</t>
  </si>
  <si>
    <t>PREMPOLY</t>
  </si>
  <si>
    <t>Q3=0.89</t>
  </si>
  <si>
    <t>N9=2.22</t>
  </si>
  <si>
    <t>FY=3.1</t>
  </si>
  <si>
    <t>GG AUTO</t>
  </si>
  <si>
    <t>Q3=3.45</t>
  </si>
  <si>
    <t>N9=9.4</t>
  </si>
  <si>
    <t>FY=13</t>
  </si>
  <si>
    <t>FAIRLY VALUE</t>
  </si>
  <si>
    <t>HCLTECH</t>
  </si>
  <si>
    <t>Q3=15.06</t>
  </si>
  <si>
    <t>FY=60</t>
  </si>
  <si>
    <t xml:space="preserve">GTPL </t>
  </si>
  <si>
    <t>Q3=1</t>
  </si>
  <si>
    <t>N9=2.74</t>
  </si>
  <si>
    <t>FY=3.8</t>
  </si>
  <si>
    <t>ANANDRATHI</t>
  </si>
  <si>
    <t>Q3=12</t>
  </si>
  <si>
    <t>N9=35.38</t>
  </si>
  <si>
    <t>FY=48</t>
  </si>
  <si>
    <t>GUJ HOTEL</t>
  </si>
  <si>
    <t>Q3=3.94</t>
  </si>
  <si>
    <t>N9=10.79</t>
  </si>
  <si>
    <t>FY=15.5</t>
  </si>
  <si>
    <t>LOTUS</t>
  </si>
  <si>
    <t>Q3=0.11</t>
  </si>
  <si>
    <t>N9=3.56</t>
  </si>
  <si>
    <t>FY=10</t>
  </si>
  <si>
    <t>PURETROP</t>
  </si>
  <si>
    <t>Q3=3.27</t>
  </si>
  <si>
    <t>N9=7.33</t>
  </si>
  <si>
    <t>KRISHANA PHOSCHEM</t>
  </si>
  <si>
    <t>Q3=5.39</t>
  </si>
  <si>
    <t>N9=15.7</t>
  </si>
  <si>
    <t>FY=22</t>
  </si>
  <si>
    <t>INTENTECH</t>
  </si>
  <si>
    <t>N9=2.88</t>
  </si>
  <si>
    <t>FY=4</t>
  </si>
  <si>
    <t>INDO THAI</t>
  </si>
  <si>
    <t>Q3=1.37</t>
  </si>
  <si>
    <t>N9=3.31</t>
  </si>
  <si>
    <t>FY=4.5</t>
  </si>
  <si>
    <t>ORIENTHOT</t>
  </si>
  <si>
    <t>Q3=1.17</t>
  </si>
  <si>
    <t>N9=1.99</t>
  </si>
  <si>
    <t>ICICIPRULI</t>
  </si>
  <si>
    <t>Q3=2.68</t>
  </si>
  <si>
    <t>N9=6.8</t>
  </si>
  <si>
    <t>FY=9.6</t>
  </si>
  <si>
    <t>NY=12</t>
  </si>
  <si>
    <t>MAHA BANK</t>
  </si>
  <si>
    <t>Q3=2.34</t>
  </si>
  <si>
    <t>N9=6.46</t>
  </si>
  <si>
    <t>FY=8.9</t>
  </si>
  <si>
    <t>LOWEST</t>
  </si>
  <si>
    <t>GNPA AT 1.6</t>
  </si>
  <si>
    <t>NPA AT 0.16</t>
  </si>
  <si>
    <t>NAVKAR</t>
  </si>
  <si>
    <t>Q3=0.62</t>
  </si>
  <si>
    <t>N9=1.07</t>
  </si>
  <si>
    <t>FY=1.8</t>
  </si>
  <si>
    <t>SIGMA</t>
  </si>
  <si>
    <t>Q3=0.65</t>
  </si>
  <si>
    <t>N9=1.8</t>
  </si>
  <si>
    <t>FY=2.5</t>
  </si>
  <si>
    <t>ICICIGI</t>
  </si>
  <si>
    <t>Q3=13.25</t>
  </si>
  <si>
    <t>FY=59</t>
  </si>
  <si>
    <t>5 PAISA</t>
  </si>
  <si>
    <t>N9=10.67</t>
  </si>
  <si>
    <t>FY=16</t>
  </si>
  <si>
    <t>MGEL</t>
  </si>
  <si>
    <t>Q3=0.26</t>
  </si>
  <si>
    <t>N9-1</t>
  </si>
  <si>
    <t>FY=1.26</t>
  </si>
  <si>
    <t>TATA ELXSI</t>
  </si>
  <si>
    <t>Q3=17.48</t>
  </si>
  <si>
    <t>N9=75</t>
  </si>
  <si>
    <t>FY=100</t>
  </si>
  <si>
    <t>RPEL</t>
  </si>
  <si>
    <t>Q3=3</t>
  </si>
  <si>
    <t>N9=8.63</t>
  </si>
  <si>
    <t>FY=12</t>
  </si>
  <si>
    <t>JUST DIAL</t>
  </si>
  <si>
    <t>Q3=16.35</t>
  </si>
  <si>
    <t>N9=49</t>
  </si>
  <si>
    <t>INFY</t>
  </si>
  <si>
    <t>Q3=16.17</t>
  </si>
  <si>
    <t>N9=50.65</t>
  </si>
  <si>
    <t>FY=68</t>
  </si>
  <si>
    <t>Q3=7.76</t>
  </si>
  <si>
    <t>N9=21.8</t>
  </si>
  <si>
    <t>FY=30</t>
  </si>
  <si>
    <t>HDBFS</t>
  </si>
  <si>
    <t>ICICI AMC</t>
  </si>
  <si>
    <t>Q3=18.55</t>
  </si>
  <si>
    <t>N9=51.29</t>
  </si>
  <si>
    <t>FY=71.5</t>
  </si>
  <si>
    <t>ARSSBL</t>
  </si>
  <si>
    <t>Q3=7.54</t>
  </si>
  <si>
    <t>N9=17.87</t>
  </si>
  <si>
    <t>FY=26</t>
  </si>
  <si>
    <t>IOB</t>
  </si>
  <si>
    <t>Q3=0.71</t>
  </si>
  <si>
    <t>N9=1.92</t>
  </si>
  <si>
    <t>FY=2.7</t>
  </si>
  <si>
    <t>GROWW</t>
  </si>
  <si>
    <t>N9=2.35</t>
  </si>
  <si>
    <t>FY=3.2</t>
  </si>
  <si>
    <t>UNIONBANK</t>
  </si>
  <si>
    <t>Q3=6.57</t>
  </si>
  <si>
    <t>N9=17.53</t>
  </si>
  <si>
    <t>FY=25</t>
  </si>
  <si>
    <t>GNPA AT LOWEST</t>
  </si>
  <si>
    <t>NPA AT 0.51</t>
  </si>
  <si>
    <t>HDFCAMC</t>
  </si>
  <si>
    <t>Q3=18</t>
  </si>
  <si>
    <t>N9=52</t>
  </si>
  <si>
    <t>FY=70</t>
  </si>
  <si>
    <t>INDBANK</t>
  </si>
  <si>
    <t>Q3=0.43</t>
  </si>
  <si>
    <t>N9=1.33</t>
  </si>
  <si>
    <t>FY=1.75</t>
  </si>
  <si>
    <t>RAMAPHOS</t>
  </si>
  <si>
    <t>Q3=3.96</t>
  </si>
  <si>
    <t>N9=13.38</t>
  </si>
  <si>
    <t>FY=15</t>
  </si>
  <si>
    <t>MRPL</t>
  </si>
  <si>
    <t>Q3=8.28</t>
  </si>
  <si>
    <t>N9=10.31</t>
  </si>
  <si>
    <t>FY=16PE</t>
  </si>
  <si>
    <t>INTL TRV</t>
  </si>
  <si>
    <t>N9=16.67</t>
  </si>
  <si>
    <t>DEN</t>
  </si>
  <si>
    <t>Q3=0.8</t>
  </si>
  <si>
    <t>N9=2.67</t>
  </si>
  <si>
    <t>FY=3.5</t>
  </si>
  <si>
    <t>PLASTIBLEND</t>
  </si>
  <si>
    <t>Q3=2.49</t>
  </si>
  <si>
    <t>N9=8.78</t>
  </si>
  <si>
    <t>FY=11</t>
  </si>
  <si>
    <t>ABMONEY</t>
  </si>
  <si>
    <t>Q3=2.52</t>
  </si>
  <si>
    <t>N9=7</t>
  </si>
  <si>
    <t>FY-9.5</t>
  </si>
  <si>
    <t>WAAREETL</t>
  </si>
  <si>
    <t>Q3=11.5</t>
  </si>
  <si>
    <t>N9=31</t>
  </si>
  <si>
    <t>FY=43</t>
  </si>
  <si>
    <t>RIIL</t>
  </si>
  <si>
    <t>Q3=1.99</t>
  </si>
  <si>
    <t>N9=6</t>
  </si>
  <si>
    <t>FY=8.25</t>
  </si>
  <si>
    <t>MENON BEARING</t>
  </si>
  <si>
    <t>Q3=1.65</t>
  </si>
  <si>
    <t>N9=4.37</t>
  </si>
  <si>
    <t>SWSOLAR</t>
  </si>
  <si>
    <t>DBCORP</t>
  </si>
  <si>
    <t>Q3=5.36</t>
  </si>
  <si>
    <t>N9=15.14</t>
  </si>
  <si>
    <t>SWARAJ ENG</t>
  </si>
  <si>
    <t>Q3=34.65</t>
  </si>
  <si>
    <t>N9-116.69</t>
  </si>
  <si>
    <t>FY=152</t>
  </si>
  <si>
    <t>SOUTHBANK</t>
  </si>
  <si>
    <t>Q3=1.43</t>
  </si>
  <si>
    <t>N9=4</t>
  </si>
  <si>
    <t>FY=5.5</t>
  </si>
  <si>
    <t>NPA AT LOWEST</t>
  </si>
  <si>
    <t>MOONGIPA</t>
  </si>
  <si>
    <t>Q3=0.24</t>
  </si>
  <si>
    <t>N9=1.9</t>
  </si>
  <si>
    <t>NELCO</t>
  </si>
  <si>
    <t>N9=1</t>
  </si>
  <si>
    <t>360 ONE</t>
  </si>
  <si>
    <t>Q3=8</t>
  </si>
  <si>
    <t>N9=23</t>
  </si>
  <si>
    <t>FY=31</t>
  </si>
  <si>
    <t>EMMVEE</t>
  </si>
  <si>
    <t>Q3=4.11</t>
  </si>
  <si>
    <t>N9=11.31</t>
  </si>
  <si>
    <t>LTTS</t>
  </si>
  <si>
    <t>Q3=28.56</t>
  </si>
  <si>
    <t>N9=89</t>
  </si>
  <si>
    <t>FY=120</t>
  </si>
  <si>
    <t>BENARS HOT</t>
  </si>
  <si>
    <t>Q3=109.48</t>
  </si>
  <si>
    <t>N9=214.56</t>
  </si>
  <si>
    <t>FY=345</t>
  </si>
  <si>
    <t>JIO FINANCE</t>
  </si>
  <si>
    <t>Q3=0.42</t>
  </si>
  <si>
    <t>N9=2</t>
  </si>
  <si>
    <t>HDFCLIFE</t>
  </si>
  <si>
    <t>Q3=1.94</t>
  </si>
  <si>
    <t>N9=6.56</t>
  </si>
  <si>
    <t>FY=8.5</t>
  </si>
  <si>
    <t>ANGELONE</t>
  </si>
  <si>
    <t>Q3=29.59</t>
  </si>
  <si>
    <t>N9=65.5</t>
  </si>
  <si>
    <t>SMARTWORK</t>
  </si>
  <si>
    <t>FY=0.2</t>
  </si>
  <si>
    <t>FEDFINA</t>
  </si>
  <si>
    <t>Q3=2.35</t>
  </si>
  <si>
    <t>N9=6.51</t>
  </si>
  <si>
    <t>RELTD</t>
  </si>
  <si>
    <t>N9=3.83</t>
  </si>
  <si>
    <t>FY=5</t>
  </si>
  <si>
    <t>NUVOCO</t>
  </si>
  <si>
    <t>Q3=1.38</t>
  </si>
  <si>
    <t>N9=6.18</t>
  </si>
  <si>
    <t>BINAYAK</t>
  </si>
  <si>
    <t>Q3=13.31</t>
  </si>
  <si>
    <t>N9=15.44</t>
  </si>
  <si>
    <t>FY=45</t>
  </si>
  <si>
    <t>DELTACORP</t>
  </si>
  <si>
    <t>Q3=0.53</t>
  </si>
  <si>
    <t>N9=2.57</t>
  </si>
  <si>
    <t>FY=3</t>
  </si>
  <si>
    <t>KEYCORP</t>
  </si>
  <si>
    <t>Q3=2.64</t>
  </si>
  <si>
    <t>N9=11.51</t>
  </si>
  <si>
    <t>FEDERALBNK</t>
  </si>
  <si>
    <t>Q3=4.23</t>
  </si>
  <si>
    <t>N9=11.63</t>
  </si>
  <si>
    <t>NOT SO GREAT NUMBERS</t>
  </si>
  <si>
    <t>ONWARDTEC</t>
  </si>
  <si>
    <t>Q3=4.5</t>
  </si>
  <si>
    <t>N9=15.37</t>
  </si>
  <si>
    <t>FY=20</t>
  </si>
  <si>
    <t>SURAJ LTD</t>
  </si>
  <si>
    <t>Q3=0.75</t>
  </si>
  <si>
    <t>N9=2.7</t>
  </si>
  <si>
    <t>THELEELA</t>
  </si>
  <si>
    <t>Q3=4.54</t>
  </si>
  <si>
    <t>N9=7.18</t>
  </si>
  <si>
    <t>FY=12.5</t>
  </si>
  <si>
    <t>CENTRALBK</t>
  </si>
  <si>
    <t>Q3=1.39</t>
  </si>
  <si>
    <t>N9=4.03</t>
  </si>
  <si>
    <t>ADORWELD</t>
  </si>
  <si>
    <t>Q3=15.33</t>
  </si>
  <si>
    <t>N9=27.46</t>
  </si>
  <si>
    <t>FY=42</t>
  </si>
  <si>
    <t>AMAL</t>
  </si>
  <si>
    <t>Q3=4</t>
  </si>
  <si>
    <t>N9=16.57</t>
  </si>
  <si>
    <t>INDOBORAX</t>
  </si>
  <si>
    <t>Q3=2.89</t>
  </si>
  <si>
    <t>N9=11.14</t>
  </si>
  <si>
    <t>POLYCAB</t>
  </si>
  <si>
    <t>Q3=41.3</t>
  </si>
  <si>
    <t>N9=126</t>
  </si>
  <si>
    <t>FY=165</t>
  </si>
  <si>
    <t>EXPENSIV</t>
  </si>
  <si>
    <t>WALCHAND PEOPLE</t>
  </si>
  <si>
    <t>Q3=4.67</t>
  </si>
  <si>
    <t>N9=12.22</t>
  </si>
  <si>
    <t>FY=17</t>
  </si>
  <si>
    <t>WIPRO</t>
  </si>
  <si>
    <t>Q3=2.98</t>
  </si>
  <si>
    <t>N9=9.26</t>
  </si>
  <si>
    <t>FY=12.3</t>
  </si>
  <si>
    <t>HSCL</t>
  </si>
  <si>
    <t>Q3=3.84</t>
  </si>
  <si>
    <t>N9=11.1</t>
  </si>
  <si>
    <t>NY=17</t>
  </si>
  <si>
    <t>TECHM</t>
  </si>
  <si>
    <t>Q3=12.86</t>
  </si>
  <si>
    <t>N9=39</t>
  </si>
  <si>
    <t>FY=53</t>
  </si>
  <si>
    <t>POONAWAALA</t>
  </si>
  <si>
    <t>Q3=1.86</t>
  </si>
  <si>
    <t>N9=3.65</t>
  </si>
  <si>
    <t>FY=5.7</t>
  </si>
  <si>
    <t>TATATECH</t>
  </si>
  <si>
    <t>Q3-0.16</t>
  </si>
  <si>
    <t>N9=8.43</t>
  </si>
  <si>
    <t>JINDALSAW</t>
  </si>
  <si>
    <t>N9=13</t>
  </si>
  <si>
    <t>CHEAP BUT NO GROWTH</t>
  </si>
  <si>
    <t>MAHEPC</t>
  </si>
  <si>
    <t>Q3=2.32</t>
  </si>
  <si>
    <t>N9=2.83</t>
  </si>
  <si>
    <t>JSWINFRA</t>
  </si>
  <si>
    <t>Q3=1.72</t>
  </si>
  <si>
    <t>N9=5.31</t>
  </si>
  <si>
    <t>FY=7.8</t>
  </si>
  <si>
    <t>CHEMBOND</t>
  </si>
  <si>
    <t>Q3=1.18</t>
  </si>
  <si>
    <t>N9=6.99</t>
  </si>
  <si>
    <t>SMLMAH</t>
  </si>
  <si>
    <t>Q3=12.11</t>
  </si>
  <si>
    <t>N9=73</t>
  </si>
  <si>
    <t>FY=108</t>
  </si>
  <si>
    <t>GEOJIT</t>
  </si>
  <si>
    <t>Q3=0.46</t>
  </si>
  <si>
    <t>N9=2.25</t>
  </si>
  <si>
    <t>BAJAJHCARE</t>
  </si>
  <si>
    <t>Q3=5.1</t>
  </si>
  <si>
    <t>N9=12.9</t>
  </si>
  <si>
    <t>FY=18</t>
  </si>
  <si>
    <t>WAAREEINDO</t>
  </si>
  <si>
    <t>Q3=10</t>
  </si>
  <si>
    <t>N9=49.18</t>
  </si>
  <si>
    <t>FY=59.1</t>
  </si>
  <si>
    <t>L&amp;TFH</t>
  </si>
  <si>
    <t>Q3=2.95</t>
  </si>
  <si>
    <t>N9=8.7</t>
  </si>
  <si>
    <t>RELIANCE</t>
  </si>
  <si>
    <t>Q3=13.78</t>
  </si>
  <si>
    <t>N9=47.15</t>
  </si>
  <si>
    <t>RBLBANK</t>
  </si>
  <si>
    <t>Q3=3.48</t>
  </si>
  <si>
    <t>N9=9.69</t>
  </si>
  <si>
    <t>FY=14</t>
  </si>
  <si>
    <t>YESBANK</t>
  </si>
  <si>
    <t>Q3=0.3</t>
  </si>
  <si>
    <t>N9=0.77</t>
  </si>
  <si>
    <t>FY=1.07</t>
  </si>
  <si>
    <t>IDBI BANK</t>
  </si>
  <si>
    <t>Q3=1.8</t>
  </si>
  <si>
    <t>N9=7.04</t>
  </si>
  <si>
    <t>JKCEMENT</t>
  </si>
  <si>
    <t>Q3=22.6</t>
  </si>
  <si>
    <t>N9=85.36</t>
  </si>
  <si>
    <t>UCOBANK</t>
  </si>
  <si>
    <t>Q3=0.59</t>
  </si>
  <si>
    <t>N9=1.57</t>
  </si>
  <si>
    <t>FY=2.2</t>
  </si>
  <si>
    <t>JAYNECOIND</t>
  </si>
  <si>
    <t>Q3=0.76</t>
  </si>
  <si>
    <t>FY=3.6</t>
  </si>
  <si>
    <t>BLB LTD</t>
  </si>
  <si>
    <t>Q3=1.62</t>
  </si>
  <si>
    <t>N9=5.49</t>
  </si>
  <si>
    <t>FY=7</t>
  </si>
  <si>
    <t>ICICIBANK</t>
  </si>
  <si>
    <t>Q3=17.54</t>
  </si>
  <si>
    <t>N9=55</t>
  </si>
  <si>
    <t>FY=73</t>
  </si>
  <si>
    <t>NPA FLAT AND LOWEST</t>
  </si>
  <si>
    <t>PSB</t>
  </si>
  <si>
    <t>Q3=0.47</t>
  </si>
  <si>
    <t>N9=1.2</t>
  </si>
  <si>
    <t>Q3=5.92</t>
  </si>
  <si>
    <t>N9=18.65</t>
  </si>
  <si>
    <t>PNB GILTS</t>
  </si>
  <si>
    <t>N9=9.37</t>
  </si>
  <si>
    <t>FY=12..5</t>
  </si>
  <si>
    <t>TRIDENT LIFE</t>
  </si>
  <si>
    <t>Q3=3.72</t>
  </si>
  <si>
    <t>N9=10.45</t>
  </si>
  <si>
    <t>SOBHA</t>
  </si>
  <si>
    <t>Q3=1.44</t>
  </si>
  <si>
    <t>N9=9.5</t>
  </si>
  <si>
    <t>JBCHEM</t>
  </si>
  <si>
    <t>Q3=12.63</t>
  </si>
  <si>
    <t>ROSSARI</t>
  </si>
  <si>
    <t>HDFCBANK</t>
  </si>
  <si>
    <t>Q3=12.13</t>
  </si>
  <si>
    <t>N9=35.95</t>
  </si>
  <si>
    <t>FY=46</t>
  </si>
  <si>
    <t>Q3=12.88</t>
  </si>
  <si>
    <t>N9=36.28</t>
  </si>
  <si>
    <t>NETWEB</t>
  </si>
  <si>
    <t>Q3=12.94</t>
  </si>
  <si>
    <t>N9=23.87</t>
  </si>
  <si>
    <t>FY=37</t>
  </si>
  <si>
    <t>NURECA</t>
  </si>
  <si>
    <t>Q3=3.91</t>
  </si>
  <si>
    <t>N9=8.56</t>
  </si>
  <si>
    <t>FAILY VALUED</t>
  </si>
  <si>
    <t>CANFINHOME</t>
  </si>
  <si>
    <t>Q3=19.89</t>
  </si>
  <si>
    <t>N9=55.58</t>
  </si>
  <si>
    <t>FY=76</t>
  </si>
  <si>
    <t>BHEL</t>
  </si>
  <si>
    <t>Q3=1.12</t>
  </si>
  <si>
    <t>N9=0.89</t>
  </si>
  <si>
    <t>HATSUN</t>
  </si>
  <si>
    <t>Q3=2.72</t>
  </si>
  <si>
    <t>N9=13.71</t>
  </si>
  <si>
    <t>TIPS MUSIC</t>
  </si>
  <si>
    <t>Q3=4.59</t>
  </si>
  <si>
    <t>N9=12.34</t>
  </si>
  <si>
    <t>AURUM</t>
  </si>
  <si>
    <t>Q3=0.48</t>
  </si>
  <si>
    <t>IRFC</t>
  </si>
  <si>
    <t>N9=4.07</t>
  </si>
  <si>
    <t>AUTOCORP</t>
  </si>
  <si>
    <t>Q3=17.84</t>
  </si>
  <si>
    <t>N9=79.77</t>
  </si>
  <si>
    <t>FY=96</t>
  </si>
  <si>
    <t>HINDZINC</t>
  </si>
  <si>
    <t>Q3=9.27</t>
  </si>
  <si>
    <t>SAISILKS</t>
  </si>
  <si>
    <t>Q3=2.59</t>
  </si>
  <si>
    <t>N9=7.35</t>
  </si>
  <si>
    <t>DEGROWTH</t>
  </si>
  <si>
    <t>NY=60</t>
  </si>
  <si>
    <t>TATACAP</t>
  </si>
  <si>
    <t>Q3=2.97</t>
  </si>
  <si>
    <t>N9=8.2</t>
  </si>
  <si>
    <t>FY=11.25</t>
  </si>
  <si>
    <t>LTIM</t>
  </si>
  <si>
    <t>Q3=32.75</t>
  </si>
  <si>
    <t>N9=122.</t>
  </si>
  <si>
    <t>FY=170</t>
  </si>
  <si>
    <t>HAVELLS</t>
  </si>
  <si>
    <t>Q3=4.8</t>
  </si>
  <si>
    <t>N9=15.43</t>
  </si>
  <si>
    <t>FY=24</t>
  </si>
  <si>
    <t>ATLANTA ELEC</t>
  </si>
  <si>
    <t>Q3=24.17</t>
  </si>
  <si>
    <t>N9=18.51</t>
  </si>
  <si>
    <t>FY=23</t>
  </si>
  <si>
    <t>BANSALWIRE</t>
  </si>
  <si>
    <t>Q3=2.76</t>
  </si>
  <si>
    <t>N9=7.72</t>
  </si>
  <si>
    <t>N9=20.82</t>
  </si>
  <si>
    <t>N9=2.8</t>
  </si>
  <si>
    <t>FY=9.8</t>
  </si>
  <si>
    <t>NO GROWTH</t>
  </si>
  <si>
    <t>OBEROIRLTY</t>
  </si>
  <si>
    <t>Q3=17.6</t>
  </si>
  <si>
    <t>N9=50</t>
  </si>
  <si>
    <t>CEATLTD</t>
  </si>
  <si>
    <t>Q3=38.59</t>
  </si>
  <si>
    <t>N9=112.37</t>
  </si>
  <si>
    <t>FY=157</t>
  </si>
  <si>
    <t>AARTISURF</t>
  </si>
  <si>
    <t>Q3=4.32</t>
  </si>
  <si>
    <t>N9=9.63</t>
  </si>
  <si>
    <t>ADMACH</t>
  </si>
  <si>
    <t>Q2=8.97</t>
  </si>
  <si>
    <t>H1=8.97</t>
  </si>
  <si>
    <t>VIKRAM SOLAR</t>
  </si>
  <si>
    <t>Q3=2.71</t>
  </si>
  <si>
    <t>N9=10.66</t>
  </si>
  <si>
    <t>AUBANK</t>
  </si>
  <si>
    <t>Q3=8.94</t>
  </si>
  <si>
    <t>N9=24.27</t>
  </si>
  <si>
    <t>FY=34</t>
  </si>
  <si>
    <t>CYIENT DLM</t>
  </si>
  <si>
    <t>Q3=1.42</t>
  </si>
  <si>
    <t>N9=6.41</t>
  </si>
  <si>
    <t>FY=8</t>
  </si>
  <si>
    <t>EXPENSIEV</t>
  </si>
  <si>
    <t>PERSISTENT</t>
  </si>
  <si>
    <t>Q3=28.15</t>
  </si>
  <si>
    <t>FY=115</t>
  </si>
  <si>
    <t>INDIAMART</t>
  </si>
  <si>
    <t>Q3=31.27</t>
  </si>
  <si>
    <t>FY=105</t>
  </si>
  <si>
    <t>SRF</t>
  </si>
  <si>
    <t>Q3=14.6</t>
  </si>
  <si>
    <t>N9=42.28</t>
  </si>
  <si>
    <t>FY=58</t>
  </si>
  <si>
    <t>GUJGASLTD</t>
  </si>
  <si>
    <t>Q3=3.88</t>
  </si>
  <si>
    <t>N9=12.7</t>
  </si>
  <si>
    <t>ITCHOTELS</t>
  </si>
  <si>
    <t>Q3=1.13</t>
  </si>
  <si>
    <t>N9=2.41</t>
  </si>
  <si>
    <t>VSSL</t>
  </si>
  <si>
    <t>N9=9.633</t>
  </si>
  <si>
    <t>NEWGEN</t>
  </si>
  <si>
    <t>Q3=4.46</t>
  </si>
  <si>
    <t>N9=71</t>
  </si>
  <si>
    <t>N9=85.89</t>
  </si>
  <si>
    <t>N9=13.83</t>
  </si>
  <si>
    <t>SENORES</t>
  </si>
  <si>
    <t>Q3=7.29</t>
  </si>
  <si>
    <t>N9=18.43</t>
  </si>
  <si>
    <t>KSOLVES</t>
  </si>
  <si>
    <t>Q3=4.13</t>
  </si>
  <si>
    <t>N9=10.39</t>
  </si>
  <si>
    <t>RAJOO ENG</t>
  </si>
  <si>
    <t>Q3=0.92</t>
  </si>
  <si>
    <t>N9=2.56</t>
  </si>
  <si>
    <t>FY=3.57</t>
  </si>
  <si>
    <t>DCMSHRIRAM</t>
  </si>
  <si>
    <t>Q3=15.9</t>
  </si>
  <si>
    <t>N9=33.3</t>
  </si>
  <si>
    <t>FY=50</t>
  </si>
  <si>
    <t>VINYL CHEM</t>
  </si>
  <si>
    <t>Q3=2.47</t>
  </si>
  <si>
    <t>J&amp;KBANK</t>
  </si>
  <si>
    <t>Q3=5.33</t>
  </si>
  <si>
    <t>N9=14.22</t>
  </si>
  <si>
    <t>TBZ</t>
  </si>
  <si>
    <t>N9=20</t>
  </si>
  <si>
    <t>CREDITACC</t>
  </si>
  <si>
    <t>Q3=15.76</t>
  </si>
  <si>
    <t>N9=27.41</t>
  </si>
  <si>
    <t>RALLIS</t>
  </si>
  <si>
    <t>Q3=0.1</t>
  </si>
  <si>
    <t>N9=10.22</t>
  </si>
  <si>
    <t>UMIYA</t>
  </si>
  <si>
    <t>Q3=0.54</t>
  </si>
  <si>
    <t>N9=22</t>
  </si>
  <si>
    <t>PFS</t>
  </si>
  <si>
    <t>N9=4.26</t>
  </si>
  <si>
    <t>CRAMC</t>
  </si>
  <si>
    <t>Q3=2.65</t>
  </si>
  <si>
    <t>N9=8.15</t>
  </si>
  <si>
    <t>SUPREME PETRO</t>
  </si>
  <si>
    <t>Q3=1/66</t>
  </si>
  <si>
    <t>N9=8.5</t>
  </si>
  <si>
    <t>PRIME SEC</t>
  </si>
  <si>
    <t>Q3=0.69</t>
  </si>
  <si>
    <t>N9=8</t>
  </si>
  <si>
    <t>EPACK</t>
  </si>
  <si>
    <t>Q3=0.27</t>
  </si>
  <si>
    <t>N9=0.34</t>
  </si>
  <si>
    <t>UNITEDSPR</t>
  </si>
  <si>
    <t>Q3=5.88</t>
  </si>
  <si>
    <t>N9=18.29</t>
  </si>
  <si>
    <t>MALLCOM</t>
  </si>
  <si>
    <t>Q3=16.27</t>
  </si>
  <si>
    <t>N9=38</t>
  </si>
  <si>
    <t>FY=90</t>
  </si>
  <si>
    <t>MASTEK</t>
  </si>
  <si>
    <t>Q3=35</t>
  </si>
  <si>
    <t>N9=96</t>
  </si>
  <si>
    <t>FY=131</t>
  </si>
  <si>
    <t>KPI ENERGY</t>
  </si>
  <si>
    <t>Q3=5.97</t>
  </si>
  <si>
    <t>N9=16.77</t>
  </si>
  <si>
    <t>REFEX</t>
  </si>
  <si>
    <t>Q3=4.57</t>
  </si>
  <si>
    <t>N9=10.6</t>
  </si>
  <si>
    <t>KP ENERGY</t>
  </si>
  <si>
    <t>Q3=6.18</t>
  </si>
  <si>
    <t>N9=15.36</t>
  </si>
  <si>
    <t>PICCADILY</t>
  </si>
  <si>
    <t>Q3=4.83</t>
  </si>
  <si>
    <t>N9=9.58</t>
  </si>
  <si>
    <t>VTL</t>
  </si>
  <si>
    <t>Q3=5.85</t>
  </si>
  <si>
    <t>N9=19.7</t>
  </si>
  <si>
    <t>FY=27</t>
  </si>
  <si>
    <t>SUPREMEIND</t>
  </si>
  <si>
    <t>N9=41</t>
  </si>
  <si>
    <t>FY=55</t>
  </si>
  <si>
    <t>EXPENISVE</t>
  </si>
  <si>
    <t>RAJRATAN</t>
  </si>
  <si>
    <t>Q3=4.08</t>
  </si>
  <si>
    <t>N9=10.77</t>
  </si>
  <si>
    <t>Q3=5.32</t>
  </si>
  <si>
    <t>N9=7.23</t>
  </si>
  <si>
    <t>THANGAMAYL</t>
  </si>
  <si>
    <t>Q3=33.71</t>
  </si>
  <si>
    <t>N9=67.24</t>
  </si>
  <si>
    <t>FY=101</t>
  </si>
  <si>
    <t>SANGAM</t>
  </si>
  <si>
    <t>Q3=5.52</t>
  </si>
  <si>
    <t>N9=10.89</t>
  </si>
  <si>
    <t>TATACOMM</t>
  </si>
  <si>
    <t>Q3=12.82</t>
  </si>
  <si>
    <t>N9=27.39</t>
  </si>
  <si>
    <t>FY=40</t>
  </si>
  <si>
    <t>DHANBANK</t>
  </si>
  <si>
    <t>Q3=0.61</t>
  </si>
  <si>
    <t>N9=1.5</t>
  </si>
  <si>
    <t>WENDT</t>
  </si>
  <si>
    <t>Q3=14.9</t>
  </si>
  <si>
    <t>N9=47.3</t>
  </si>
  <si>
    <t>DALBHARAT</t>
  </si>
  <si>
    <t>Q3=6.5</t>
  </si>
  <si>
    <t>N9=40</t>
  </si>
  <si>
    <t>JSL</t>
  </si>
  <si>
    <t>Q3=10.06</t>
  </si>
  <si>
    <t>N9=28.53</t>
  </si>
  <si>
    <t>FY=39</t>
  </si>
  <si>
    <t>TATVA</t>
  </si>
  <si>
    <t>Q3=6.49</t>
  </si>
  <si>
    <t>N9=13.57</t>
  </si>
  <si>
    <t>ETERNAL</t>
  </si>
  <si>
    <t>N9=0.21</t>
  </si>
  <si>
    <t>FY=0.4</t>
  </si>
  <si>
    <t>BAJAJCON</t>
  </si>
  <si>
    <t>Q3=3.44</t>
  </si>
  <si>
    <t>N9=9.39</t>
  </si>
  <si>
    <t>CHEMBONDCH</t>
  </si>
  <si>
    <t>Q3=3.62</t>
  </si>
  <si>
    <t>N9=8.64</t>
  </si>
  <si>
    <t>BANKINDIA</t>
  </si>
  <si>
    <t>Q3=6.19</t>
  </si>
  <si>
    <t>N9=15.86</t>
  </si>
  <si>
    <t>DRREDDY</t>
  </si>
  <si>
    <t>Q3=14.53</t>
  </si>
  <si>
    <t>N9=47.76</t>
  </si>
  <si>
    <t>BUT FLAT GROWTH</t>
  </si>
  <si>
    <t>GOACARBON</t>
  </si>
  <si>
    <t>CANHLIFE</t>
  </si>
  <si>
    <t>Q3=0.29</t>
  </si>
  <si>
    <t>N9=0.97</t>
  </si>
  <si>
    <t>FY=1.4</t>
  </si>
  <si>
    <t>HINDPETRO</t>
  </si>
  <si>
    <t>Q3=19.14</t>
  </si>
  <si>
    <t>N9=57.68</t>
  </si>
  <si>
    <t>FY=77</t>
  </si>
  <si>
    <t>JAGSNPHARM</t>
  </si>
  <si>
    <t>Q3=1.67</t>
  </si>
  <si>
    <t>N9=5.15</t>
  </si>
  <si>
    <t>UTIAMC</t>
  </si>
  <si>
    <t>Q3=9.43</t>
  </si>
  <si>
    <t>N9=36.74</t>
  </si>
  <si>
    <t>KEI</t>
  </si>
  <si>
    <t>Q3=24.57</t>
  </si>
  <si>
    <t>N9=66.36</t>
  </si>
  <si>
    <t>SHILIP</t>
  </si>
  <si>
    <t>Q3=2.17</t>
  </si>
  <si>
    <t>N9=11.06</t>
  </si>
  <si>
    <t>SAGCEM</t>
  </si>
  <si>
    <t>KHAICHEM</t>
  </si>
  <si>
    <t>Q3=2.11</t>
  </si>
  <si>
    <t>N9=6.53</t>
  </si>
  <si>
    <t>GRAVITA</t>
  </si>
  <si>
    <t>Q3=13.41</t>
  </si>
  <si>
    <t>N9=39.41</t>
  </si>
  <si>
    <t>EPACKPEB</t>
  </si>
  <si>
    <t>Q3=1.68</t>
  </si>
  <si>
    <t>N9=6.88</t>
  </si>
  <si>
    <t>FY=9.5</t>
  </si>
  <si>
    <t>PNBHOUSING</t>
  </si>
  <si>
    <t>Q3=19.97</t>
  </si>
  <si>
    <t>N9=62.83</t>
  </si>
  <si>
    <t>FY=85</t>
  </si>
  <si>
    <t>ANANTRAJ</t>
  </si>
  <si>
    <t>Q3=4.14</t>
  </si>
  <si>
    <t>N9=11.73</t>
  </si>
  <si>
    <t>NY=21</t>
  </si>
  <si>
    <t>WAAREE</t>
  </si>
  <si>
    <t>Q3=37</t>
  </si>
  <si>
    <t>N9=92.22</t>
  </si>
  <si>
    <t>OFSS</t>
  </si>
  <si>
    <t>Q3=70</t>
  </si>
  <si>
    <t>N9=206</t>
  </si>
  <si>
    <t>FY=280</t>
  </si>
  <si>
    <t>DBOL</t>
  </si>
  <si>
    <t>Q3=2.56</t>
  </si>
  <si>
    <t>FY=2</t>
  </si>
  <si>
    <t>MUTHOOTCAP</t>
  </si>
  <si>
    <t>Q3=4.65</t>
  </si>
  <si>
    <t>N9=3.53</t>
  </si>
  <si>
    <t>TANFAC</t>
  </si>
  <si>
    <t>Q3=15.61</t>
  </si>
  <si>
    <t>N9=52.24</t>
  </si>
  <si>
    <t>CAMS</t>
  </si>
  <si>
    <t>Q3=5</t>
  </si>
  <si>
    <t>N9=14.13</t>
  </si>
  <si>
    <t>FY=19.5</t>
  </si>
  <si>
    <t>SSWL</t>
  </si>
  <si>
    <t>N9=8.23</t>
  </si>
  <si>
    <t>FY=11.7</t>
  </si>
  <si>
    <t>STRING METAVERSE</t>
  </si>
  <si>
    <t>Q3=2.38</t>
  </si>
  <si>
    <t>N9=5.81</t>
  </si>
  <si>
    <t>INDIANB</t>
  </si>
  <si>
    <t>Q3=22.73</t>
  </si>
  <si>
    <t>N9=67.21</t>
  </si>
  <si>
    <t>ZEEL</t>
  </si>
  <si>
    <t>N9=3.91</t>
  </si>
  <si>
    <t>FY=5.6</t>
  </si>
  <si>
    <t>APL APOLLO</t>
  </si>
  <si>
    <t>Q3=11.17</t>
  </si>
  <si>
    <t>N9=30.58</t>
  </si>
  <si>
    <t>ALIVUS</t>
  </si>
  <si>
    <t>Q3=12.25</t>
  </si>
  <si>
    <t>N9=32.76</t>
  </si>
  <si>
    <t>UTKARSHBNK</t>
  </si>
  <si>
    <t>Q3=0.96</t>
  </si>
  <si>
    <t>N9=2.12</t>
  </si>
  <si>
    <t>ABSLAMC</t>
  </si>
  <si>
    <t>Q3=9.33</t>
  </si>
  <si>
    <t>N9=27.29</t>
  </si>
  <si>
    <t>IIFL</t>
  </si>
  <si>
    <t>Q3=10.92</t>
  </si>
  <si>
    <t>N9=25.27</t>
  </si>
  <si>
    <t>VMART</t>
  </si>
  <si>
    <t>Q3=11</t>
  </si>
  <si>
    <t>N9=14.2</t>
  </si>
  <si>
    <t>ALUFLUORIDE</t>
  </si>
  <si>
    <t>N9=26.1</t>
  </si>
  <si>
    <t>ORIENTELEC</t>
  </si>
  <si>
    <t>Q3=1.22</t>
  </si>
  <si>
    <t>N9=2.6</t>
  </si>
  <si>
    <t>FY=4.1</t>
  </si>
  <si>
    <t>FORBES PRECISION</t>
  </si>
  <si>
    <t>N9=3.43</t>
  </si>
  <si>
    <t>RADICO</t>
  </si>
  <si>
    <t>Q3=11.57</t>
  </si>
  <si>
    <t>N9=31.75</t>
  </si>
  <si>
    <t>ADANIENSOL</t>
  </si>
  <si>
    <t>Q3=6.34</t>
  </si>
  <si>
    <t>N9=19.4</t>
  </si>
  <si>
    <t>FY=25.5</t>
  </si>
  <si>
    <t>MONARCH</t>
  </si>
  <si>
    <t>Q3=5.73</t>
  </si>
  <si>
    <t>N9=17</t>
  </si>
  <si>
    <t>INDIGO</t>
  </si>
  <si>
    <t>Q3=14.2</t>
  </si>
  <si>
    <t>N9=3.74</t>
  </si>
  <si>
    <t>MPHASIS</t>
  </si>
  <si>
    <t>Q3=23.22</t>
  </si>
  <si>
    <t>FY=94</t>
  </si>
  <si>
    <t>IXIGO</t>
  </si>
  <si>
    <t>Q3=0.58</t>
  </si>
  <si>
    <t>FY=1.6</t>
  </si>
  <si>
    <t>CYIENT</t>
  </si>
  <si>
    <t>Q3=8.32</t>
  </si>
  <si>
    <t>N9=33.8</t>
  </si>
  <si>
    <t>HOMEFIRST</t>
  </si>
  <si>
    <t>Q3=13.54</t>
  </si>
  <si>
    <t>FY=52</t>
  </si>
  <si>
    <t>KRYSTAL</t>
  </si>
  <si>
    <t>Q3=11.38</t>
  </si>
  <si>
    <t>N9=32.57</t>
  </si>
  <si>
    <t>FY=44</t>
  </si>
  <si>
    <t>TTKHEALTH</t>
  </si>
  <si>
    <t>Q3=7.45</t>
  </si>
  <si>
    <t>SHANTIGEAR</t>
  </si>
  <si>
    <t>N9=7.87</t>
  </si>
  <si>
    <t>KOPRAN</t>
  </si>
  <si>
    <t>Q3=1.93</t>
  </si>
  <si>
    <t>N9=1.42</t>
  </si>
  <si>
    <t>BANDHANBNK</t>
  </si>
  <si>
    <t>Q3=1.28</t>
  </si>
  <si>
    <t>N9=4.28</t>
  </si>
  <si>
    <t>DLF</t>
  </si>
  <si>
    <t>Q3=4.86</t>
  </si>
  <si>
    <t>N9=12.71</t>
  </si>
  <si>
    <t>FY=17.6</t>
  </si>
  <si>
    <t>ATGL</t>
  </si>
  <si>
    <t>N9=4.43</t>
  </si>
  <si>
    <t>BORONA</t>
  </si>
  <si>
    <t>Q3=7</t>
  </si>
  <si>
    <t>N9=17.89</t>
  </si>
  <si>
    <t>GODIGIT</t>
  </si>
  <si>
    <t>Q3=1.52</t>
  </si>
  <si>
    <t>ANTELOPLUS</t>
  </si>
  <si>
    <t>Q3=8.11</t>
  </si>
  <si>
    <t>N9=14.66</t>
  </si>
  <si>
    <t>GSPL</t>
  </si>
  <si>
    <t>Q3=4.55</t>
  </si>
  <si>
    <t>N9=14.75</t>
  </si>
  <si>
    <t>SURYODAY</t>
  </si>
  <si>
    <t>N9=9.62</t>
  </si>
  <si>
    <t>SYNGENE</t>
  </si>
  <si>
    <t>N9=4.2</t>
  </si>
  <si>
    <t>TANLA</t>
  </si>
  <si>
    <t>Q3=9.95</t>
  </si>
  <si>
    <t>N9=28</t>
  </si>
  <si>
    <t>DUNCAN</t>
  </si>
  <si>
    <t>Q3=2.79</t>
  </si>
  <si>
    <t>N9=9.95</t>
  </si>
  <si>
    <t>SPECTRUM ELECTRICAL</t>
  </si>
  <si>
    <t>Q3=6.44</t>
  </si>
  <si>
    <t>PREMIERENE</t>
  </si>
  <si>
    <t>Q3=8.72</t>
  </si>
  <si>
    <t>N9=23.49</t>
  </si>
  <si>
    <t>FY=32</t>
  </si>
  <si>
    <t>ZENSAR</t>
  </si>
  <si>
    <t>Q3=7.14</t>
  </si>
  <si>
    <t>N9=21.43</t>
  </si>
  <si>
    <t>FY=29</t>
  </si>
  <si>
    <t>IDEA FORGE</t>
  </si>
  <si>
    <t>CIGNITI</t>
  </si>
  <si>
    <t>Q3=29.15</t>
  </si>
  <si>
    <t>N9=83</t>
  </si>
  <si>
    <t>FY=110</t>
  </si>
  <si>
    <t>COFORGE</t>
  </si>
  <si>
    <t>N9=26</t>
  </si>
  <si>
    <t>FY=33</t>
  </si>
  <si>
    <t>INFOBEAN</t>
  </si>
  <si>
    <t>Q3=7.96</t>
  </si>
  <si>
    <t>N9=26.86</t>
  </si>
  <si>
    <t>MCX</t>
  </si>
  <si>
    <t>Q3=15.73</t>
  </si>
  <si>
    <t>N9=31.45</t>
  </si>
  <si>
    <t>FY=47</t>
  </si>
  <si>
    <t>CHEAP COMPARED TO OTHER EXCHANGES</t>
  </si>
  <si>
    <t>NY=66</t>
  </si>
  <si>
    <t>JYOTISTRUC</t>
  </si>
  <si>
    <t>Q3=0.14</t>
  </si>
  <si>
    <t>N9=0.31</t>
  </si>
  <si>
    <t>FY=0.5</t>
  </si>
  <si>
    <t>VEEFIN</t>
  </si>
  <si>
    <t>JSWENERGY</t>
  </si>
  <si>
    <t>Q3=2.41</t>
  </si>
  <si>
    <t>N9=10.7</t>
  </si>
  <si>
    <t>BPCL</t>
  </si>
  <si>
    <t>Q3=16.82</t>
  </si>
  <si>
    <t>N9=47.32</t>
  </si>
  <si>
    <t>FY=64</t>
  </si>
  <si>
    <t>NUVAMA</t>
  </si>
  <si>
    <t>Q3=14</t>
  </si>
  <si>
    <t>N9=42.79</t>
  </si>
  <si>
    <t>FY=57</t>
  </si>
  <si>
    <t>GANDHAR</t>
  </si>
  <si>
    <t>Q3=3.31</t>
  </si>
  <si>
    <t>N9=9.68</t>
  </si>
  <si>
    <t>URBAN</t>
  </si>
  <si>
    <t>WELSPUN SPEC</t>
  </si>
  <si>
    <t>N9=0.28</t>
  </si>
  <si>
    <t>FY=0.45</t>
  </si>
  <si>
    <t>KARUR VYSYSA</t>
  </si>
  <si>
    <t>N9=18.48</t>
  </si>
  <si>
    <t>PIRAMALFIN</t>
  </si>
  <si>
    <t>Q3=17.69</t>
  </si>
  <si>
    <t>N9=44.34</t>
  </si>
  <si>
    <t>INDUSINDBK</t>
  </si>
  <si>
    <t>Q3=1.64</t>
  </si>
  <si>
    <t>N9=3.68</t>
  </si>
  <si>
    <t>NPA AT HIGH</t>
  </si>
  <si>
    <t>GODREJCP</t>
  </si>
  <si>
    <t>Q3=4.87</t>
  </si>
  <si>
    <t>N9=13.78</t>
  </si>
  <si>
    <t>FY=18.5</t>
  </si>
  <si>
    <t>DCBBANK</t>
  </si>
  <si>
    <t>Q3=5.76</t>
  </si>
  <si>
    <t>N9=16.61</t>
  </si>
  <si>
    <t>FY=22.5</t>
  </si>
  <si>
    <t>KIRLPNU</t>
  </si>
  <si>
    <t>Q3=6.4</t>
  </si>
  <si>
    <t>JSWSTEEL</t>
  </si>
  <si>
    <t>Q3=8.76</t>
  </si>
  <si>
    <t>N9=24.35</t>
  </si>
  <si>
    <t>SONACOMS</t>
  </si>
  <si>
    <t>Q3=2.43</t>
  </si>
  <si>
    <t>N9=7.21</t>
  </si>
  <si>
    <t>STLTECH</t>
  </si>
  <si>
    <t>LAURUSLAB</t>
  </si>
  <si>
    <t>N9=11.3</t>
  </si>
  <si>
    <t>ATUL</t>
  </si>
  <si>
    <t>Q3=54.6</t>
  </si>
  <si>
    <t>N9=159</t>
  </si>
  <si>
    <t>FY=220</t>
  </si>
  <si>
    <t>PARAS</t>
  </si>
  <si>
    <t>Q3=2.25</t>
  </si>
  <si>
    <t>N9=6.67</t>
  </si>
  <si>
    <t>SHRIRAMFIN</t>
  </si>
  <si>
    <t>Q3=13.45</t>
  </si>
  <si>
    <t>N9=37.23</t>
  </si>
  <si>
    <t>FY=51</t>
  </si>
  <si>
    <t>ADANIGREEN</t>
  </si>
  <si>
    <t>N9=7.32</t>
  </si>
  <si>
    <t>SGFIN</t>
  </si>
  <si>
    <t>Q3=5.81</t>
  </si>
  <si>
    <t>N9=15.28</t>
  </si>
  <si>
    <t>INNOVA CAP</t>
  </si>
  <si>
    <t>Q3=7.37</t>
  </si>
  <si>
    <t>N9=17.97</t>
  </si>
  <si>
    <t>NY=32</t>
  </si>
  <si>
    <t>CIPLA</t>
  </si>
  <si>
    <t>Q3=8.37</t>
  </si>
  <si>
    <t>N9-41</t>
  </si>
  <si>
    <t>FY=56</t>
  </si>
  <si>
    <t>STYLAM</t>
  </si>
  <si>
    <t>Q3=27</t>
  </si>
  <si>
    <t>N9=66</t>
  </si>
  <si>
    <t>SGMART</t>
  </si>
  <si>
    <t>Q3=0.85</t>
  </si>
  <si>
    <t>N9=5.84</t>
  </si>
  <si>
    <t>IMPAL</t>
  </si>
  <si>
    <t>Q3=13.77</t>
  </si>
  <si>
    <t>N9=50.56</t>
  </si>
  <si>
    <t>DP ABHUSAN</t>
  </si>
  <si>
    <t>Q3=32.21</t>
  </si>
  <si>
    <t>N9=70.8</t>
  </si>
  <si>
    <t>FY=95</t>
  </si>
  <si>
    <t>GRANULES</t>
  </si>
  <si>
    <t>N9=16.22</t>
  </si>
  <si>
    <t>ADVANI</t>
  </si>
  <si>
    <t>N9=1.32</t>
  </si>
  <si>
    <t>ULTRACEMCO</t>
  </si>
  <si>
    <t>Q3=59</t>
  </si>
  <si>
    <t>N9=176</t>
  </si>
  <si>
    <t>FY=250</t>
  </si>
  <si>
    <t>BANSAL ROOF</t>
  </si>
  <si>
    <t>N9=5.35</t>
  </si>
  <si>
    <t>JTLIND</t>
  </si>
  <si>
    <t>Q3=0.67</t>
  </si>
  <si>
    <t>N9=1.66</t>
  </si>
  <si>
    <t>FY=2.4</t>
  </si>
  <si>
    <t>KOTAKBANK</t>
  </si>
  <si>
    <t>Q3=4.95</t>
  </si>
  <si>
    <t>N9=13.94</t>
  </si>
  <si>
    <t>FY=19</t>
  </si>
  <si>
    <t>SBFC</t>
  </si>
  <si>
    <t>Q3=1.08</t>
  </si>
  <si>
    <t>N9=3</t>
  </si>
  <si>
    <t>SHYAMMETAL</t>
  </si>
  <si>
    <t>N9=26.91</t>
  </si>
  <si>
    <t>20 MICRONS</t>
  </si>
  <si>
    <t>Q3=4.24</t>
  </si>
  <si>
    <t>N9=13.95</t>
  </si>
  <si>
    <t>CHENNPETRO</t>
  </si>
  <si>
    <t>Q3=67.26</t>
  </si>
  <si>
    <t>N9=113</t>
  </si>
  <si>
    <t>IFBIND</t>
  </si>
  <si>
    <t>Q3=5.91</t>
  </si>
  <si>
    <t>N9=24.9</t>
  </si>
  <si>
    <t>AXISBANK</t>
  </si>
  <si>
    <t>NPA RISING IS HUGE NEGATIVE</t>
  </si>
  <si>
    <t>Q3=22.51</t>
  </si>
  <si>
    <t>N9=60.56</t>
  </si>
  <si>
    <t>FY=83</t>
  </si>
  <si>
    <t>RK FORGE</t>
  </si>
  <si>
    <t>N9=.88</t>
  </si>
  <si>
    <t>MARICO</t>
  </si>
  <si>
    <t>AVL</t>
  </si>
  <si>
    <t>Q3=2.12</t>
  </si>
  <si>
    <t>N9=7.39</t>
  </si>
  <si>
    <t>FY=8.8</t>
  </si>
  <si>
    <t>SUMICHEM</t>
  </si>
  <si>
    <t>N9=8.65</t>
  </si>
  <si>
    <t>FY=10.5</t>
  </si>
  <si>
    <t>ASIANPAINT</t>
  </si>
  <si>
    <t>N9=33</t>
  </si>
  <si>
    <t>FY=41</t>
  </si>
  <si>
    <t>ORIENT BELL</t>
  </si>
  <si>
    <t>Q3=2.05</t>
  </si>
  <si>
    <t>RAYMOND REL</t>
  </si>
  <si>
    <t>N9=21.55</t>
  </si>
  <si>
    <t>EMKAY</t>
  </si>
  <si>
    <t>N9=3.73</t>
  </si>
  <si>
    <t xml:space="preserve">FALLING VOLUMES </t>
  </si>
  <si>
    <t>HMVL</t>
  </si>
  <si>
    <t>Q3=0.12</t>
  </si>
  <si>
    <t>TATACONS</t>
  </si>
  <si>
    <t>N9=11.35</t>
  </si>
  <si>
    <t>NILA INFRA</t>
  </si>
  <si>
    <t>N9=0.44</t>
  </si>
  <si>
    <t>FY=0.6</t>
  </si>
  <si>
    <t>RAYMOND</t>
  </si>
  <si>
    <t>N9=4.9</t>
  </si>
  <si>
    <t>DYCL</t>
  </si>
  <si>
    <t>Q3=4.63</t>
  </si>
  <si>
    <t>N9=12.444</t>
  </si>
  <si>
    <t>RAYMOND SL</t>
  </si>
  <si>
    <t>N9=16</t>
  </si>
  <si>
    <t>WE WORK</t>
  </si>
  <si>
    <t>Q3=1.25</t>
  </si>
  <si>
    <t>N9=0.67</t>
  </si>
  <si>
    <t>CGPOWER</t>
  </si>
  <si>
    <t>Q3=1.81</t>
  </si>
  <si>
    <t>N9=5.39</t>
  </si>
  <si>
    <t>FY=7.5</t>
  </si>
  <si>
    <t>OMAX AUTO</t>
  </si>
  <si>
    <t>Q3=5.71</t>
  </si>
  <si>
    <t>N9=9.21</t>
  </si>
  <si>
    <t>SPANDANA</t>
  </si>
  <si>
    <t>MAHLOG</t>
  </si>
  <si>
    <t>Q3=0.33</t>
  </si>
  <si>
    <t>LOSS</t>
  </si>
  <si>
    <t>MOTILAL</t>
  </si>
  <si>
    <t>Q3=9.42</t>
  </si>
  <si>
    <t>N9=34.84</t>
  </si>
  <si>
    <t>IGIL</t>
  </si>
  <si>
    <t>Q3=3.11</t>
  </si>
  <si>
    <t>N9=12.8</t>
  </si>
  <si>
    <t>FY=12.8</t>
  </si>
  <si>
    <t>GEM AROMA</t>
  </si>
  <si>
    <t>PAUSHAK</t>
  </si>
  <si>
    <t>Q3=2.5</t>
  </si>
  <si>
    <t>N9=11</t>
  </si>
  <si>
    <t>GOPAL SNACKS</t>
  </si>
  <si>
    <t>Q3=1.24</t>
  </si>
  <si>
    <t>N9=3.51</t>
  </si>
  <si>
    <t>DODLA</t>
  </si>
  <si>
    <t>Q3=11.39</t>
  </si>
  <si>
    <t>N9=32.7</t>
  </si>
  <si>
    <t>BIKAJI</t>
  </si>
  <si>
    <t>Q3=2.48</t>
  </si>
  <si>
    <t>PCJ</t>
  </si>
  <si>
    <t>N9=0.81</t>
  </si>
  <si>
    <t>FY=1.06</t>
  </si>
  <si>
    <t>D&amp;H</t>
  </si>
  <si>
    <t>N9=6.22</t>
  </si>
  <si>
    <t>METROBRAND</t>
  </si>
  <si>
    <t>Q3=4.71</t>
  </si>
  <si>
    <t>N9=10.82</t>
  </si>
  <si>
    <t>SUNTECK</t>
  </si>
  <si>
    <t>Q3=3.97</t>
  </si>
  <si>
    <t>N9=9.6</t>
  </si>
  <si>
    <t>VMM</t>
  </si>
  <si>
    <t>N9=1.44</t>
  </si>
  <si>
    <t>RPGLIFE</t>
  </si>
  <si>
    <t>Q3=13.38</t>
  </si>
  <si>
    <t>N9=51.56</t>
  </si>
  <si>
    <t>PFOCUS</t>
  </si>
  <si>
    <t>Q3=1.15</t>
  </si>
  <si>
    <t>N9=3.21</t>
  </si>
  <si>
    <t>NESCO</t>
  </si>
  <si>
    <t>Q3=15</t>
  </si>
  <si>
    <t>N9=45.27</t>
  </si>
  <si>
    <t>ALL DIGI</t>
  </si>
  <si>
    <t>Q3=13.68</t>
  </si>
  <si>
    <t>N9=35</t>
  </si>
  <si>
    <t>SIYSIL</t>
  </si>
  <si>
    <t>Q3=9.21</t>
  </si>
  <si>
    <t>N9=29.34</t>
  </si>
  <si>
    <t>BONDADA</t>
  </si>
  <si>
    <t>Q3=4.76</t>
  </si>
  <si>
    <t>FY=17.5</t>
  </si>
  <si>
    <t>SHARE INDIA</t>
  </si>
  <si>
    <t>N9=12.14</t>
  </si>
  <si>
    <t>FY=16.5</t>
  </si>
  <si>
    <t>MONOLITHISC</t>
  </si>
  <si>
    <t>N9=7.3</t>
  </si>
  <si>
    <t>VAIBHAV GLOBAL</t>
  </si>
  <si>
    <t>N9=10.51</t>
  </si>
  <si>
    <t>FY=14.5</t>
  </si>
  <si>
    <t>PRUDENT</t>
  </si>
  <si>
    <t>Q3=13.92</t>
  </si>
  <si>
    <t>N9=39.35</t>
  </si>
  <si>
    <t>FY=54</t>
  </si>
  <si>
    <t>NOVARTIS</t>
  </si>
  <si>
    <t>Q3=6.52</t>
  </si>
  <si>
    <t>N9=27.51</t>
  </si>
  <si>
    <t>ABREL</t>
  </si>
  <si>
    <t>MARUTI</t>
  </si>
  <si>
    <t>Q3=123</t>
  </si>
  <si>
    <t>N9=351</t>
  </si>
  <si>
    <t>FY=450</t>
  </si>
  <si>
    <t>PUNJAB CHEM</t>
  </si>
  <si>
    <t>Q3=11.26</t>
  </si>
  <si>
    <t>N9=43.21</t>
  </si>
  <si>
    <t>KAYA</t>
  </si>
  <si>
    <t>MENON PISTON</t>
  </si>
  <si>
    <t>Q3=1.26</t>
  </si>
  <si>
    <t>N9=4.14</t>
  </si>
  <si>
    <t>CSBBANK</t>
  </si>
  <si>
    <t>Q3=8.8</t>
  </si>
  <si>
    <t>N9=24.88</t>
  </si>
  <si>
    <t>NPA RISING NEGATIVE</t>
  </si>
  <si>
    <t>BALAXI</t>
  </si>
  <si>
    <t>Q3=0.06</t>
  </si>
  <si>
    <t>N9=0.15</t>
  </si>
  <si>
    <t>CINELINE</t>
  </si>
  <si>
    <t>N9=2.39</t>
  </si>
  <si>
    <t>NIITMTS</t>
  </si>
  <si>
    <t>Q3=5.42</t>
  </si>
  <si>
    <t>N9=12.47</t>
  </si>
  <si>
    <t>CRAFTSMAN</t>
  </si>
  <si>
    <t>Q3=46.32</t>
  </si>
  <si>
    <t>N9=123.89</t>
  </si>
  <si>
    <t>TVSMOTOR</t>
  </si>
  <si>
    <t>Q3=17.71</t>
  </si>
  <si>
    <t>N9=47.2</t>
  </si>
  <si>
    <t>FY=80</t>
  </si>
  <si>
    <t>ARVFASN</t>
  </si>
  <si>
    <t>N9=5.72</t>
  </si>
  <si>
    <t>FY=5.72</t>
  </si>
  <si>
    <t>PARKMEDI</t>
  </si>
  <si>
    <t>Q3=1.35</t>
  </si>
  <si>
    <t>N9=5</t>
  </si>
  <si>
    <t>FY=6.5</t>
  </si>
  <si>
    <t>CRIZAC</t>
  </si>
  <si>
    <t>Q3=2.85</t>
  </si>
  <si>
    <t>CARTRADE</t>
  </si>
  <si>
    <t>Q3=11.7</t>
  </si>
  <si>
    <t>N9=33.29</t>
  </si>
  <si>
    <t>ICRA</t>
  </si>
  <si>
    <t>Q3=40.34</t>
  </si>
  <si>
    <t>N9=134</t>
  </si>
  <si>
    <t>FY=181</t>
  </si>
  <si>
    <t>SUPERB GROWH</t>
  </si>
  <si>
    <t>SOMANYCERA</t>
  </si>
  <si>
    <t>Q3=4.39</t>
  </si>
  <si>
    <t>N9=10.57</t>
  </si>
  <si>
    <t>CHECKPOINT</t>
  </si>
  <si>
    <t>N9=3.63</t>
  </si>
  <si>
    <t>FY=4.8</t>
  </si>
  <si>
    <t>SYMPHONY</t>
  </si>
  <si>
    <t>N9=11.84</t>
  </si>
  <si>
    <t>GLAND</t>
  </si>
  <si>
    <t>Q3=15.87</t>
  </si>
  <si>
    <t>SATIN</t>
  </si>
  <si>
    <t>Q3=6.54</t>
  </si>
  <si>
    <t>N9=15.47</t>
  </si>
  <si>
    <t>POCL</t>
  </si>
  <si>
    <t>N9=31.65</t>
  </si>
  <si>
    <t>HERITAGE</t>
  </si>
  <si>
    <t>Q3=3.73</t>
  </si>
  <si>
    <t>N9=13.55</t>
  </si>
  <si>
    <t>MASFIN</t>
  </si>
  <si>
    <t>N9=14.77</t>
  </si>
  <si>
    <t>INT ENGG</t>
  </si>
  <si>
    <t>N9=3.49</t>
  </si>
  <si>
    <t>M&amp;MFIN</t>
  </si>
  <si>
    <t>Q3=5.93</t>
  </si>
  <si>
    <t>N9=14</t>
  </si>
  <si>
    <t>RAINBOW</t>
  </si>
  <si>
    <t>N9=19.82</t>
  </si>
  <si>
    <t>THYROCARE</t>
  </si>
  <si>
    <t>Q3=1.82</t>
  </si>
  <si>
    <t>N9=7.28</t>
  </si>
  <si>
    <t>STEL HOLDING</t>
  </si>
  <si>
    <t>Q3=6.82</t>
  </si>
  <si>
    <t>N9=10.65</t>
  </si>
  <si>
    <t>WHIRLPOOL</t>
  </si>
  <si>
    <t>MANORAMA</t>
  </si>
  <si>
    <t>N9=29</t>
  </si>
  <si>
    <t>BUT IMPRESSIVE GROWTH</t>
  </si>
  <si>
    <t>BSOFT</t>
  </si>
  <si>
    <t>Q3=4.28</t>
  </si>
  <si>
    <t>N9=12.26</t>
  </si>
  <si>
    <t>N9=16.9</t>
  </si>
  <si>
    <t>MAHSEAMLES</t>
  </si>
  <si>
    <t>Q3=18.12</t>
  </si>
  <si>
    <t>N9=44.66</t>
  </si>
  <si>
    <t>FY=63</t>
  </si>
  <si>
    <t>SJS ENT</t>
  </si>
  <si>
    <t>ELCID</t>
  </si>
  <si>
    <t>Q3=2370</t>
  </si>
  <si>
    <t>N9=7487</t>
  </si>
  <si>
    <t>FY=7500</t>
  </si>
  <si>
    <t>HAWKINS</t>
  </si>
  <si>
    <t>Q3=63.3</t>
  </si>
  <si>
    <t>N9=173</t>
  </si>
  <si>
    <t>FY=240</t>
  </si>
  <si>
    <t>VINCOFE</t>
  </si>
  <si>
    <t>Q3=1.31</t>
  </si>
  <si>
    <t>POLYMECH</t>
  </si>
  <si>
    <t>N9=0.64</t>
  </si>
  <si>
    <t>FY=1.5</t>
  </si>
  <si>
    <t>SBILIFE</t>
  </si>
  <si>
    <t>Q3=5.75</t>
  </si>
  <si>
    <t>N9=16.62</t>
  </si>
  <si>
    <t>ACUTAAS</t>
  </si>
  <si>
    <t>Q3=13.19</t>
  </si>
  <si>
    <t>N9=27.43</t>
  </si>
  <si>
    <t>PINELAB</t>
  </si>
  <si>
    <t>Q3=0.38</t>
  </si>
  <si>
    <t>N9=0.51</t>
  </si>
  <si>
    <t>FY=1</t>
  </si>
  <si>
    <t>VIMTALABS</t>
  </si>
  <si>
    <t>N9=12.67</t>
  </si>
  <si>
    <t>TVSHLDNG</t>
  </si>
  <si>
    <t>Q3=243.75</t>
  </si>
  <si>
    <t>N9=628</t>
  </si>
  <si>
    <t>FY=900</t>
  </si>
  <si>
    <t>MONTECARLO</t>
  </si>
  <si>
    <t>Q3=51.6</t>
  </si>
  <si>
    <t>N9=51.63</t>
  </si>
  <si>
    <t>VGUARD</t>
  </si>
  <si>
    <t>Q3=1.3</t>
  </si>
  <si>
    <t>N9=4.48</t>
  </si>
  <si>
    <t>FY=6.6</t>
  </si>
  <si>
    <t>ACC</t>
  </si>
  <si>
    <t>Q3=21.52</t>
  </si>
  <si>
    <t>N9=101</t>
  </si>
  <si>
    <t>FY=140</t>
  </si>
  <si>
    <t>SOLARWORLD</t>
  </si>
  <si>
    <t>Q3=5.68</t>
  </si>
  <si>
    <t>MACFOS</t>
  </si>
  <si>
    <t>N9=16.75</t>
  </si>
  <si>
    <t>BUT VERY GOOD GROWTH RATE</t>
  </si>
  <si>
    <t>MANGAL</t>
  </si>
  <si>
    <t>N9=12.79</t>
  </si>
  <si>
    <t>ASK AUTO</t>
  </si>
  <si>
    <t>N9=11.45</t>
  </si>
  <si>
    <t>THEPHOENIX</t>
  </si>
  <si>
    <t>Q3=8.41</t>
  </si>
  <si>
    <t>N9=23.64</t>
  </si>
  <si>
    <t>BUT IMPRESSIVE GROWH</t>
  </si>
  <si>
    <t>ASAL</t>
  </si>
  <si>
    <t>N9=9</t>
  </si>
  <si>
    <t>BRIGHOTEL</t>
  </si>
  <si>
    <t>N9=1.05</t>
  </si>
  <si>
    <t>DOLATALGO</t>
  </si>
  <si>
    <t>Q3=2.21</t>
  </si>
  <si>
    <t>N9=4.67</t>
  </si>
  <si>
    <t>DATAMATICS</t>
  </si>
  <si>
    <t>Q3=6</t>
  </si>
  <si>
    <t>N9=25</t>
  </si>
  <si>
    <t>GRSE</t>
  </si>
  <si>
    <t>Q3-14.91</t>
  </si>
  <si>
    <t>N9=38.82</t>
  </si>
  <si>
    <t>LT</t>
  </si>
  <si>
    <t>Q3=23.37</t>
  </si>
  <si>
    <t>N9=78.22</t>
  </si>
  <si>
    <t>FY=128</t>
  </si>
  <si>
    <t>LMW</t>
  </si>
  <si>
    <t>Q3=13.72</t>
  </si>
  <si>
    <t>N9=63</t>
  </si>
  <si>
    <t>FY=107</t>
  </si>
  <si>
    <t>FIVESTAR</t>
  </si>
  <si>
    <t>Q3=9.41</t>
  </si>
  <si>
    <t>FY=38</t>
  </si>
  <si>
    <t>COCHINSHIP</t>
  </si>
  <si>
    <t>Q3=5.5</t>
  </si>
  <si>
    <t>N9=16.73</t>
  </si>
  <si>
    <t>FY=28</t>
  </si>
  <si>
    <t xml:space="preserve">SKP </t>
  </si>
  <si>
    <t>N9=12.4</t>
  </si>
  <si>
    <t>GPT INFRA</t>
  </si>
  <si>
    <t>Q3=1.6</t>
  </si>
  <si>
    <t>N9=5.18</t>
  </si>
  <si>
    <t>EXPENSIE</t>
  </si>
  <si>
    <t>RAMCO</t>
  </si>
  <si>
    <t>Q3=0.87</t>
  </si>
  <si>
    <t>N9=4.5</t>
  </si>
  <si>
    <t>JINDRILL</t>
  </si>
  <si>
    <t>N9=57</t>
  </si>
  <si>
    <t>FY=74</t>
  </si>
  <si>
    <t>AEROFLEX</t>
  </si>
  <si>
    <t>N9=2.93</t>
  </si>
  <si>
    <t>FY=4.</t>
  </si>
  <si>
    <t>SBICARD</t>
  </si>
  <si>
    <t>N9=16.37</t>
  </si>
  <si>
    <t>LTFOOD</t>
  </si>
  <si>
    <t>Q3=4.53</t>
  </si>
  <si>
    <t>N9=14.1</t>
  </si>
  <si>
    <t>NSDL</t>
  </si>
  <si>
    <t>Q3=4.48</t>
  </si>
  <si>
    <t>N9=14.48</t>
  </si>
  <si>
    <t>ECLERX</t>
  </si>
  <si>
    <t>Q3=41</t>
  </si>
  <si>
    <t>N9=110</t>
  </si>
  <si>
    <t>FY=150</t>
  </si>
  <si>
    <t>SAGILITY</t>
  </si>
  <si>
    <t>Q3=0.57</t>
  </si>
  <si>
    <t>LODHA</t>
  </si>
  <si>
    <t>Q3=9.59</t>
  </si>
  <si>
    <t>N9=24.25</t>
  </si>
  <si>
    <t>AGI GREEN</t>
  </si>
  <si>
    <t>N9=36.52</t>
  </si>
  <si>
    <t>BORORENW</t>
  </si>
  <si>
    <t>Q3=7.2</t>
  </si>
  <si>
    <t>SAMHI HOTEL</t>
  </si>
  <si>
    <t>Q3=2.18</t>
  </si>
  <si>
    <t>N9=7.8</t>
  </si>
  <si>
    <t>FY-10</t>
  </si>
  <si>
    <t>SURAJEST</t>
  </si>
  <si>
    <t>Q3=5.44</t>
  </si>
  <si>
    <t>N9=17.19</t>
  </si>
  <si>
    <t>SUNDRMFAST</t>
  </si>
  <si>
    <t>Q3=6.21</t>
  </si>
  <si>
    <t>N9=20.45</t>
  </si>
  <si>
    <t>PPLPHARMA</t>
  </si>
  <si>
    <t>QUESS</t>
  </si>
  <si>
    <t>Q3=3.69</t>
  </si>
  <si>
    <t>STARHEALTH</t>
  </si>
  <si>
    <t>N9=7.58</t>
  </si>
  <si>
    <t>BALKRISIND</t>
  </si>
  <si>
    <t>Q3=19.77</t>
  </si>
  <si>
    <t>N9=48.81</t>
  </si>
  <si>
    <t>FY=69</t>
  </si>
  <si>
    <t>SKMEGG</t>
  </si>
  <si>
    <t>Q3=11.41</t>
  </si>
  <si>
    <t>N9=27</t>
  </si>
  <si>
    <t>BEL</t>
  </si>
  <si>
    <t>Q3=2.16</t>
  </si>
  <si>
    <t>N9=5.25</t>
  </si>
  <si>
    <t>GVT&amp;D</t>
  </si>
  <si>
    <t>Q3=11.36</t>
  </si>
  <si>
    <t>N9=34.4</t>
  </si>
  <si>
    <t>APCOTEX</t>
  </si>
  <si>
    <t>N9=12.86</t>
  </si>
  <si>
    <t>BLUESTARCO</t>
  </si>
  <si>
    <t>Q3=3.92</t>
  </si>
  <si>
    <t>GO FASHION</t>
  </si>
  <si>
    <t>Q3=1.33</t>
  </si>
  <si>
    <t>N9=9.48</t>
  </si>
  <si>
    <t>GHCL TEXTILE</t>
  </si>
  <si>
    <t>N9=4.47</t>
  </si>
  <si>
    <t>COROMANDEL</t>
  </si>
  <si>
    <t>Q3=17.17</t>
  </si>
  <si>
    <t>N9=61.56</t>
  </si>
  <si>
    <t>FY=81.56</t>
  </si>
  <si>
    <t>BMW IND</t>
  </si>
  <si>
    <t>Q3=0.78</t>
  </si>
  <si>
    <t>APOLLO PIPES</t>
  </si>
  <si>
    <t>SUMMIT SEC</t>
  </si>
  <si>
    <t>Q3=13.61</t>
  </si>
  <si>
    <t>N9=117</t>
  </si>
  <si>
    <t>SHARDACROP</t>
  </si>
  <si>
    <t>Q3=16</t>
  </si>
  <si>
    <t>JASCH</t>
  </si>
  <si>
    <t>Q3=3.79</t>
  </si>
  <si>
    <t>N9=10.12</t>
  </si>
  <si>
    <t>JSWHL</t>
  </si>
  <si>
    <t>Q3=29</t>
  </si>
  <si>
    <t>N9=119.93</t>
  </si>
  <si>
    <t>ARKADE</t>
  </si>
  <si>
    <t>N9=6.19</t>
  </si>
  <si>
    <t>CONTROLPR</t>
  </si>
  <si>
    <t>Q3=3.29</t>
  </si>
  <si>
    <t>N9=20.26</t>
  </si>
  <si>
    <t>FY=62</t>
  </si>
  <si>
    <t>CAPITALSFB</t>
  </si>
  <si>
    <t>Q3=7.6</t>
  </si>
  <si>
    <t>N9=22.38</t>
  </si>
  <si>
    <t>ADANIPOWER</t>
  </si>
  <si>
    <t>Q3=1.29</t>
  </si>
  <si>
    <t>N9=4.54</t>
  </si>
  <si>
    <t>VSTIND</t>
  </si>
  <si>
    <t>Q3=3.55</t>
  </si>
  <si>
    <t>N9=10.34</t>
  </si>
  <si>
    <t>GILLETTE</t>
  </si>
  <si>
    <t>Q3=53</t>
  </si>
  <si>
    <t>N9=141</t>
  </si>
  <si>
    <t>FY=195</t>
  </si>
  <si>
    <t>MHRIL</t>
  </si>
  <si>
    <t>N9=1.39</t>
  </si>
  <si>
    <t>WORTH</t>
  </si>
  <si>
    <t>Q3=2.02</t>
  </si>
  <si>
    <t>N9=7.13</t>
  </si>
  <si>
    <t>VEGA</t>
  </si>
  <si>
    <t>Q3=12.66</t>
  </si>
  <si>
    <t>AJMERA</t>
  </si>
  <si>
    <t>N9=4.79</t>
  </si>
  <si>
    <t>GHCL</t>
  </si>
  <si>
    <t>N9=37.52</t>
  </si>
  <si>
    <t>STYRENIX</t>
  </si>
  <si>
    <t>Q3=9.29</t>
  </si>
  <si>
    <t>N9=62</t>
  </si>
  <si>
    <t>FY=81</t>
  </si>
  <si>
    <t>SKIPPER</t>
  </si>
  <si>
    <t>N9=11.92</t>
  </si>
  <si>
    <t>DOLPHIN OFF</t>
  </si>
  <si>
    <t>Q3=3.32</t>
  </si>
  <si>
    <t>N9=10</t>
  </si>
  <si>
    <t>BUILDPRO</t>
  </si>
  <si>
    <t>Q3=12.12</t>
  </si>
  <si>
    <t>H1=25.35</t>
  </si>
  <si>
    <t>IEX</t>
  </si>
  <si>
    <t>Q3=1.34</t>
  </si>
  <si>
    <t>N9=4.08</t>
  </si>
  <si>
    <t>EQUITAS</t>
  </si>
  <si>
    <t>BALAMINES</t>
  </si>
  <si>
    <t>Q3=9.49</t>
  </si>
  <si>
    <t>N9=32</t>
  </si>
  <si>
    <t>FY-44</t>
  </si>
  <si>
    <t>APAR IND</t>
  </si>
  <si>
    <t>Q3=52</t>
  </si>
  <si>
    <t>N9=180</t>
  </si>
  <si>
    <t>TTK PRESTIGE</t>
  </si>
  <si>
    <t>Q3=2.4</t>
  </si>
  <si>
    <t>GUJ INTRUX</t>
  </si>
  <si>
    <t>Q3=10.93</t>
  </si>
  <si>
    <t>N9=24.24</t>
  </si>
  <si>
    <t>CANBK</t>
  </si>
  <si>
    <t>N9=16.19</t>
  </si>
  <si>
    <t>JARO</t>
  </si>
  <si>
    <t>Q3=3.1</t>
  </si>
  <si>
    <t>ASAHISONG</t>
  </si>
  <si>
    <t>N9=6.7</t>
  </si>
  <si>
    <t>MANBA</t>
  </si>
  <si>
    <t>Q3=2.6</t>
  </si>
  <si>
    <t>N9=6.81</t>
  </si>
  <si>
    <t>FY=9.4</t>
  </si>
  <si>
    <t>KPITTECH</t>
  </si>
  <si>
    <t>Q3=4.9</t>
  </si>
  <si>
    <t>N9=17.44</t>
  </si>
  <si>
    <t>NACL</t>
  </si>
  <si>
    <t>N9=0.25</t>
  </si>
  <si>
    <t>SWIGGY</t>
  </si>
  <si>
    <t>N9-LOSS</t>
  </si>
  <si>
    <t>VEDL</t>
  </si>
  <si>
    <t>Q3=5.45</t>
  </si>
  <si>
    <t>N9=27.34</t>
  </si>
  <si>
    <t>MANAPPURAM</t>
  </si>
  <si>
    <t>Q3=2.82</t>
  </si>
  <si>
    <t>N9=6.95</t>
  </si>
  <si>
    <t>DIXON</t>
  </si>
  <si>
    <t>N9=223</t>
  </si>
  <si>
    <t>FY=350</t>
  </si>
  <si>
    <t>TDPOWER</t>
  </si>
  <si>
    <t>Q3=3.61</t>
  </si>
  <si>
    <t>RECLTD</t>
  </si>
  <si>
    <t>Q3=15.39</t>
  </si>
  <si>
    <t>UFO</t>
  </si>
  <si>
    <t>STALLION</t>
  </si>
  <si>
    <t>Q3=1.4</t>
  </si>
  <si>
    <t>N9=4.15</t>
  </si>
  <si>
    <t>DEEPAKFERT</t>
  </si>
  <si>
    <t>Q3=11.21</t>
  </si>
  <si>
    <t>N9=47</t>
  </si>
  <si>
    <t>AEQUS</t>
  </si>
  <si>
    <t>JASCH GAUGING</t>
  </si>
  <si>
    <t>Q3=7.36</t>
  </si>
  <si>
    <t>N9=25.95</t>
  </si>
  <si>
    <t>CUPID</t>
  </si>
  <si>
    <t>N9=2.68</t>
  </si>
  <si>
    <t>NAM INDIA</t>
  </si>
  <si>
    <t>N9=18</t>
  </si>
  <si>
    <t>TMCV</t>
  </si>
  <si>
    <t>Q3=1.91</t>
  </si>
  <si>
    <t>N9=3.36</t>
  </si>
  <si>
    <t>KABRA</t>
  </si>
  <si>
    <t>HUDCO</t>
  </si>
  <si>
    <t>Q3=3.52</t>
  </si>
  <si>
    <t>N9=10.26</t>
  </si>
  <si>
    <t>DABUR</t>
  </si>
  <si>
    <t>Q3=3.16</t>
  </si>
  <si>
    <t>N9=8.61</t>
  </si>
  <si>
    <t>FY=11.5</t>
  </si>
  <si>
    <t>IVP</t>
  </si>
  <si>
    <t>N9=9.51</t>
  </si>
  <si>
    <t>FY=13.5</t>
  </si>
  <si>
    <t>VOLTAS</t>
  </si>
  <si>
    <t>Q3=2.57</t>
  </si>
  <si>
    <t>N9=7.85</t>
  </si>
  <si>
    <t>PRICOL</t>
  </si>
  <si>
    <t>Q3=5.22</t>
  </si>
  <si>
    <t>N9=14.57</t>
  </si>
  <si>
    <t>TRF</t>
  </si>
  <si>
    <t>AEGIS VOPAK</t>
  </si>
  <si>
    <t>Q3=0.56</t>
  </si>
  <si>
    <t>N9=1.51</t>
  </si>
  <si>
    <t>FY=2.1</t>
  </si>
  <si>
    <t>SYRMA</t>
  </si>
  <si>
    <t>Q3=3.13</t>
  </si>
  <si>
    <t>N9=11.65</t>
  </si>
  <si>
    <t>FY=15.7</t>
  </si>
  <si>
    <t>USHAMART</t>
  </si>
  <si>
    <t>Q3=3.53</t>
  </si>
  <si>
    <t>ACCELYA</t>
  </si>
  <si>
    <t>Q3=9.34</t>
  </si>
  <si>
    <t>FLAIR</t>
  </si>
  <si>
    <t>N9=9.87</t>
  </si>
  <si>
    <t>VENUSREM</t>
  </si>
  <si>
    <t>Q3=19</t>
  </si>
  <si>
    <t>N9=41.37</t>
  </si>
  <si>
    <t>BIRLACABLES</t>
  </si>
  <si>
    <t>FY=3.4</t>
  </si>
  <si>
    <t>CARBORUNIV</t>
  </si>
  <si>
    <t>N9=11.2</t>
  </si>
  <si>
    <t>MTARTECH</t>
  </si>
  <si>
    <t>Q3=11.28</t>
  </si>
  <si>
    <t>N9=16.17</t>
  </si>
  <si>
    <t>CONCOR</t>
  </si>
  <si>
    <t>Q3=4.4</t>
  </si>
  <si>
    <t>SIS</t>
  </si>
  <si>
    <t>ITC</t>
  </si>
  <si>
    <t>KROSS</t>
  </si>
  <si>
    <t>NIVA</t>
  </si>
  <si>
    <t>KHAITAN</t>
  </si>
  <si>
    <t>Q3=2.58</t>
  </si>
  <si>
    <t>N9=6.59</t>
  </si>
  <si>
    <t>INDGENE</t>
  </si>
  <si>
    <t>Q3=4.3</t>
  </si>
  <si>
    <t>N9=13.4</t>
  </si>
  <si>
    <t>ABDL</t>
  </si>
  <si>
    <t>Q3=2.36</t>
  </si>
  <si>
    <t>COLPAL</t>
  </si>
  <si>
    <t>Q3=11.91</t>
  </si>
  <si>
    <t>N9=35.74</t>
  </si>
  <si>
    <t>WEBSOL</t>
  </si>
  <si>
    <t>Q3=1.54</t>
  </si>
  <si>
    <t>N9=4.23</t>
  </si>
  <si>
    <t>ORIENTCEM</t>
  </si>
  <si>
    <t>N9=13.73</t>
  </si>
  <si>
    <t>TNPL</t>
  </si>
  <si>
    <t>Q3=0.98</t>
  </si>
  <si>
    <t>N9=1.08</t>
  </si>
  <si>
    <t>EXPENISV</t>
  </si>
  <si>
    <t xml:space="preserve">INDUSTRIAL &amp; PRUDENTIAL </t>
  </si>
  <si>
    <t>Q3=94</t>
  </si>
  <si>
    <t>N9=275.9</t>
  </si>
  <si>
    <t>FY=385</t>
  </si>
  <si>
    <t>PAYTM</t>
  </si>
  <si>
    <t>N9=5.77</t>
  </si>
  <si>
    <t>Q3=1.47</t>
  </si>
  <si>
    <t>N9=5.45</t>
  </si>
  <si>
    <t>RMDRIP</t>
  </si>
  <si>
    <t>GESHIP</t>
  </si>
  <si>
    <t>Q3=57</t>
  </si>
  <si>
    <t>N9=133</t>
  </si>
  <si>
    <t>FY=190</t>
  </si>
  <si>
    <t>CAPRI GLOBAL</t>
  </si>
  <si>
    <t>Q3=2.66</t>
  </si>
  <si>
    <t>N9=7.2</t>
  </si>
  <si>
    <t>ACME</t>
  </si>
  <si>
    <t>Q3=1.88</t>
  </si>
  <si>
    <t>N9=5.94</t>
  </si>
  <si>
    <t>QUICK HEAL</t>
  </si>
  <si>
    <t>Q3=1.19</t>
  </si>
  <si>
    <t>N9=1.63</t>
  </si>
  <si>
    <t>PRESTIGE</t>
  </si>
  <si>
    <t>Q3=5.17</t>
  </si>
  <si>
    <t>SESHA TECH</t>
  </si>
  <si>
    <t>Q3=3.95</t>
  </si>
  <si>
    <t>LXCHEM</t>
  </si>
  <si>
    <t>N9=2.1</t>
  </si>
  <si>
    <t>ION EXCHANGE</t>
  </si>
  <si>
    <t>Q3=1.7</t>
  </si>
  <si>
    <t>N9=9.9</t>
  </si>
  <si>
    <t>EPIGRAL</t>
  </si>
  <si>
    <t>Q3=9</t>
  </si>
  <si>
    <t>N9=58</t>
  </si>
  <si>
    <t>FY=78</t>
  </si>
  <si>
    <t>AMBUJACEM</t>
  </si>
  <si>
    <t>Q3=0.82</t>
  </si>
  <si>
    <t>N9=11.36</t>
  </si>
  <si>
    <t>JBMA</t>
  </si>
  <si>
    <t>Q3=2.33</t>
  </si>
  <si>
    <t>N9=6.14</t>
  </si>
  <si>
    <t>BRIGADE</t>
  </si>
  <si>
    <t>Q3=7.53</t>
  </si>
  <si>
    <t>N9=20.41</t>
  </si>
  <si>
    <t>FAIRLY PRICED</t>
  </si>
  <si>
    <t>THE PHOSPATE</t>
  </si>
  <si>
    <t>PGHH</t>
  </si>
  <si>
    <t>Q3=93</t>
  </si>
  <si>
    <t>N9=216.66</t>
  </si>
  <si>
    <t>FY=340</t>
  </si>
  <si>
    <t>WELCORP</t>
  </si>
  <si>
    <t>N9=47.19</t>
  </si>
  <si>
    <t>PONNIERODE</t>
  </si>
  <si>
    <t>NESTLEIND</t>
  </si>
  <si>
    <t>N9=12.38</t>
  </si>
  <si>
    <t>EXIDEIND</t>
  </si>
  <si>
    <t>Q3=2.29</t>
  </si>
  <si>
    <t>N9=7.52</t>
  </si>
  <si>
    <t>SAINT GOBAIN</t>
  </si>
  <si>
    <t>Q3=1.23</t>
  </si>
  <si>
    <t>N9=3.59</t>
  </si>
  <si>
    <t>SICAGEN</t>
  </si>
  <si>
    <t>N9=3.44</t>
  </si>
  <si>
    <t>FY=4.75</t>
  </si>
  <si>
    <t>ASAHI INDIA</t>
  </si>
  <si>
    <t>Q3=3.9</t>
  </si>
  <si>
    <t>N9=8.33</t>
  </si>
  <si>
    <t>WHEELS</t>
  </si>
  <si>
    <t>Q3=14.76</t>
  </si>
  <si>
    <t>N9=39.67</t>
  </si>
  <si>
    <t>AIA ENG</t>
  </si>
  <si>
    <t>Q3=31.54</t>
  </si>
  <si>
    <t>N9=93.96</t>
  </si>
  <si>
    <t>FY=125</t>
  </si>
  <si>
    <t>DR LAL PATH</t>
  </si>
  <si>
    <t>MOIL</t>
  </si>
  <si>
    <t>N9=8.59</t>
  </si>
  <si>
    <t>NIITLTD</t>
  </si>
  <si>
    <t>N9=0.72</t>
  </si>
  <si>
    <t>FY=1.1</t>
  </si>
  <si>
    <t>STAR</t>
  </si>
  <si>
    <t>Q3=22</t>
  </si>
  <si>
    <t>N9=46.57</t>
  </si>
  <si>
    <t>FY=67</t>
  </si>
  <si>
    <t>ARVIND</t>
  </si>
  <si>
    <t>N9=9.7</t>
  </si>
  <si>
    <t>AEGIS LOGISTIC</t>
  </si>
  <si>
    <t>N9=13.9</t>
  </si>
  <si>
    <t xml:space="preserve">PSP </t>
  </si>
  <si>
    <t>N9=8.74</t>
  </si>
  <si>
    <t>HESTER BIO</t>
  </si>
  <si>
    <t>Q3=10.94</t>
  </si>
  <si>
    <t>N9=48</t>
  </si>
  <si>
    <t>BHAGYANAGR</t>
  </si>
  <si>
    <t>NY=20</t>
  </si>
  <si>
    <t>NAVNEET</t>
  </si>
  <si>
    <t>N9=14.18</t>
  </si>
  <si>
    <t>KAJARIA</t>
  </si>
  <si>
    <t>Q3=5.53</t>
  </si>
  <si>
    <t>N9=20.9</t>
  </si>
  <si>
    <t>FY=25.9</t>
  </si>
  <si>
    <t>PRADEEP</t>
  </si>
  <si>
    <t>N9=11.59</t>
  </si>
  <si>
    <t>MAFATLAL</t>
  </si>
  <si>
    <t>N9=9.88</t>
  </si>
  <si>
    <t>AJANTPHARM</t>
  </si>
  <si>
    <t>Q3=21.91</t>
  </si>
  <si>
    <t>N9=63.18</t>
  </si>
  <si>
    <t>FY=82</t>
  </si>
  <si>
    <t>MSUMI</t>
  </si>
  <si>
    <t>Q3=0.23</t>
  </si>
  <si>
    <t>N9=0.69</t>
  </si>
  <si>
    <t>ARCHIDPL</t>
  </si>
  <si>
    <t>Q3=0.81</t>
  </si>
  <si>
    <t>N9=2.43</t>
  </si>
  <si>
    <t>NATIONALUM</t>
  </si>
  <si>
    <t>Q3=8.69</t>
  </si>
  <si>
    <t>N9=22.19</t>
  </si>
  <si>
    <t>YOGI</t>
  </si>
  <si>
    <t>Q3=0.34</t>
  </si>
  <si>
    <t>N9=3.96</t>
  </si>
  <si>
    <t>FIBERWEB</t>
  </si>
  <si>
    <t>Q3=1.36</t>
  </si>
  <si>
    <t>INSECTICID</t>
  </si>
  <si>
    <t>N9=43.89</t>
  </si>
  <si>
    <t>DOMS</t>
  </si>
  <si>
    <t>Q3=9.54</t>
  </si>
  <si>
    <t>N9=28.58</t>
  </si>
  <si>
    <t>MEESHO</t>
  </si>
  <si>
    <t>CHOLAFIN</t>
  </si>
  <si>
    <t>Q3=15.29</t>
  </si>
  <si>
    <t>N9=42.6</t>
  </si>
  <si>
    <t>SCODA TUBES</t>
  </si>
  <si>
    <t>FY=7.77</t>
  </si>
  <si>
    <t>JINDALSTEL</t>
  </si>
  <si>
    <t>Q3=1.87</t>
  </si>
  <si>
    <t>N9=22.85</t>
  </si>
  <si>
    <t>KOKUYOCMLN</t>
  </si>
  <si>
    <t>Q3=0.4</t>
  </si>
  <si>
    <t>N9=2.18</t>
  </si>
  <si>
    <t>FY=2.65</t>
  </si>
  <si>
    <t>DUROPLY</t>
  </si>
  <si>
    <t>Q3=1.45</t>
  </si>
  <si>
    <t>GODFRYPHLP</t>
  </si>
  <si>
    <t>N9=64.5</t>
  </si>
  <si>
    <t>FY=88</t>
  </si>
  <si>
    <t>KEC</t>
  </si>
  <si>
    <t>Q3=4.79</t>
  </si>
  <si>
    <t>N9=15.5</t>
  </si>
  <si>
    <t>JLHL</t>
  </si>
  <si>
    <t>IFB AGRO</t>
  </si>
  <si>
    <t>Q3=7.79</t>
  </si>
  <si>
    <t>FISCHER</t>
  </si>
  <si>
    <t>N9=0.59</t>
  </si>
  <si>
    <t>FY=.90</t>
  </si>
  <si>
    <t>ARIS INFRA</t>
  </si>
  <si>
    <t>Q3=1.9</t>
  </si>
  <si>
    <t>N9=4.39</t>
  </si>
  <si>
    <t>STEELCAST</t>
  </si>
  <si>
    <t>Q3=2.03</t>
  </si>
  <si>
    <t>N9=6.29</t>
  </si>
  <si>
    <t>RELAXO</t>
  </si>
  <si>
    <t>Q3=1.06</t>
  </si>
  <si>
    <t>FY=6.8</t>
  </si>
  <si>
    <t>GOLKUNDA</t>
  </si>
  <si>
    <t>NTPC</t>
  </si>
  <si>
    <t>Q3=5.66</t>
  </si>
  <si>
    <t>BAJAJAUTO</t>
  </si>
  <si>
    <t>Q3=98.5</t>
  </si>
  <si>
    <t>N9-253.8</t>
  </si>
  <si>
    <t>FY=353</t>
  </si>
  <si>
    <t>NORTHERNARC</t>
  </si>
  <si>
    <t>Q3=6.24</t>
  </si>
  <si>
    <t>SEAMEC</t>
  </si>
  <si>
    <t>Q3=39</t>
  </si>
  <si>
    <t>AADHAR HFC</t>
  </si>
  <si>
    <t>N9=18.15</t>
  </si>
  <si>
    <t>FY=25.15</t>
  </si>
  <si>
    <t>INTELLECT</t>
  </si>
  <si>
    <t>Q3=2</t>
  </si>
  <si>
    <t>N9=16.3</t>
  </si>
  <si>
    <t>POWERGRID</t>
  </si>
  <si>
    <t>N9=12.24</t>
  </si>
  <si>
    <t>FY=16.7</t>
  </si>
  <si>
    <t>ASHOKA</t>
  </si>
  <si>
    <t>N9=19.87</t>
  </si>
  <si>
    <t>LICHSGFIN</t>
  </si>
  <si>
    <t>Q3=25.4</t>
  </si>
  <si>
    <t>MITSUCHEM</t>
  </si>
  <si>
    <t>Q3=3.47</t>
  </si>
  <si>
    <t>N9=5.82</t>
  </si>
  <si>
    <t>GAEL</t>
  </si>
  <si>
    <t>FY=5.2</t>
  </si>
  <si>
    <t>RPOWER</t>
  </si>
  <si>
    <t>N9=.38</t>
  </si>
  <si>
    <t>SUBROS</t>
  </si>
  <si>
    <t>N9=17.83</t>
  </si>
  <si>
    <t>MANAKSIA</t>
  </si>
  <si>
    <t>Q3=2.22</t>
  </si>
  <si>
    <t xml:space="preserve">FAIRLY VALUED </t>
  </si>
  <si>
    <t>NIACL</t>
  </si>
  <si>
    <t>Q3=2.31</t>
  </si>
  <si>
    <t>BLUEDART</t>
  </si>
  <si>
    <t>Q3=28.7</t>
  </si>
  <si>
    <t>N9=83.67</t>
  </si>
  <si>
    <t>FY=114</t>
  </si>
  <si>
    <t>AWHCL</t>
  </si>
  <si>
    <t>Q3=4.05</t>
  </si>
  <si>
    <t>N9=15.13</t>
  </si>
  <si>
    <t>TFCILTD</t>
  </si>
  <si>
    <t>N9=1.98</t>
  </si>
  <si>
    <t>HIM TECHNO</t>
  </si>
  <si>
    <t>N9=9.32</t>
  </si>
  <si>
    <t>TATAINVEST</t>
  </si>
  <si>
    <t>Q3=1.49</t>
  </si>
  <si>
    <t>N9=7.31</t>
  </si>
  <si>
    <t>MEDPLUS</t>
  </si>
  <si>
    <t>Q3=4.82</t>
  </si>
  <si>
    <t>N9=12.99</t>
  </si>
  <si>
    <t>NY=24</t>
  </si>
  <si>
    <t>MAYUR UNIQ</t>
  </si>
  <si>
    <t>Q3=11.68</t>
  </si>
  <si>
    <t>N9=30.45</t>
  </si>
  <si>
    <t>TRIVENI</t>
  </si>
  <si>
    <t>N9=5.23</t>
  </si>
  <si>
    <t>MAITHANALL</t>
  </si>
  <si>
    <t>Q3=30.55</t>
  </si>
  <si>
    <t>FY=203</t>
  </si>
  <si>
    <t>PAKKA</t>
  </si>
  <si>
    <t>Q3=1.57</t>
  </si>
  <si>
    <t>NITTA GELATINE</t>
  </si>
  <si>
    <t>Q3=28.21</t>
  </si>
  <si>
    <t>BOB</t>
  </si>
  <si>
    <t>Q3=9.77</t>
  </si>
  <si>
    <t>N9=27.86</t>
  </si>
  <si>
    <t>FY-38</t>
  </si>
  <si>
    <t>SAIL</t>
  </si>
  <si>
    <t>Q3=0.91</t>
  </si>
  <si>
    <t>N9=3.72</t>
  </si>
  <si>
    <t>GLENMARK</t>
  </si>
  <si>
    <t>Q3=14.29</t>
  </si>
  <si>
    <t>N9=37.58</t>
  </si>
  <si>
    <t>BIRLACORPN</t>
  </si>
  <si>
    <t>Q3=6.85</t>
  </si>
  <si>
    <t>N9=34.13</t>
  </si>
  <si>
    <t>SUNPHARMA</t>
  </si>
  <si>
    <t>N9=36.5</t>
  </si>
  <si>
    <t>PDUMJEE</t>
  </si>
  <si>
    <t>Q3=2.19</t>
  </si>
  <si>
    <t>N9=7.78</t>
  </si>
  <si>
    <t>FY=10.2</t>
  </si>
  <si>
    <t>CLEAN</t>
  </si>
  <si>
    <t>VINATI ORGA</t>
  </si>
  <si>
    <t>Q3=9.73</t>
  </si>
  <si>
    <t>SHILTECH</t>
  </si>
  <si>
    <t>MIC</t>
  </si>
  <si>
    <t>Q3=.08</t>
  </si>
  <si>
    <t>N9=0.24</t>
  </si>
  <si>
    <t>FY=0.35</t>
  </si>
  <si>
    <t>LAMBODARA</t>
  </si>
  <si>
    <t>N9=7.59</t>
  </si>
  <si>
    <t>GWRHITECH</t>
  </si>
  <si>
    <t>Q3=24</t>
  </si>
  <si>
    <t>N9=99</t>
  </si>
  <si>
    <t>FY=132</t>
  </si>
  <si>
    <t>CREATIVE CASTING</t>
  </si>
  <si>
    <t>N9=25.77</t>
  </si>
  <si>
    <t>ZF STEERING</t>
  </si>
  <si>
    <t>Q3=8.64</t>
  </si>
  <si>
    <t>ADVENZYMES</t>
  </si>
  <si>
    <t>Q3=3.8</t>
  </si>
  <si>
    <t>N9=11.24</t>
  </si>
  <si>
    <t>FY=15.2</t>
  </si>
  <si>
    <t>TEESTA AGRO</t>
  </si>
  <si>
    <t>Q3=5.3</t>
  </si>
  <si>
    <t>N9=9.17</t>
  </si>
  <si>
    <t>FINPIPE</t>
  </si>
  <si>
    <t>N9=5.46</t>
  </si>
  <si>
    <t>FY=7.3</t>
  </si>
  <si>
    <t>GOKEX</t>
  </si>
  <si>
    <t>N9=8.8</t>
  </si>
  <si>
    <t>INDORAMA</t>
  </si>
  <si>
    <t>N9=3.3</t>
  </si>
  <si>
    <t>STUDDS</t>
  </si>
  <si>
    <t>Q3=5.27</t>
  </si>
  <si>
    <t>N9=15.65</t>
  </si>
  <si>
    <t>FY=21.8</t>
  </si>
  <si>
    <t>IKIO</t>
  </si>
  <si>
    <t>N9=3.11</t>
  </si>
  <si>
    <t>RRKABEL</t>
  </si>
  <si>
    <t>Q3=10.46</t>
  </si>
  <si>
    <t>N9=28.68</t>
  </si>
  <si>
    <t>RATNAVEER</t>
  </si>
  <si>
    <t>N9=8.68</t>
  </si>
  <si>
    <t>SAMBHV</t>
  </si>
  <si>
    <t>Q3=0.83</t>
  </si>
  <si>
    <t>UTL SOLAR</t>
  </si>
  <si>
    <t>Q3=2.37</t>
  </si>
  <si>
    <t>INDSWFTLAB</t>
  </si>
  <si>
    <t>N9=3.23</t>
  </si>
  <si>
    <t>HIGHENERGY</t>
  </si>
  <si>
    <t>Q3=5.58</t>
  </si>
  <si>
    <t>BELRISE</t>
  </si>
  <si>
    <t>N9=4.35</t>
  </si>
  <si>
    <t>GAIL</t>
  </si>
  <si>
    <t>Q3=2.67</t>
  </si>
  <si>
    <t>N9=9.27</t>
  </si>
  <si>
    <t>FY=12.35</t>
  </si>
  <si>
    <t>ZENTEC</t>
  </si>
  <si>
    <t>Q3=6.09</t>
  </si>
  <si>
    <t>N9=18.01</t>
  </si>
  <si>
    <t>VISHNUCHEM</t>
  </si>
  <si>
    <t>Q3=5.02</t>
  </si>
  <si>
    <t>N9=14.69</t>
  </si>
  <si>
    <t xml:space="preserve">SHRIHARI </t>
  </si>
  <si>
    <t>Q3=2.2</t>
  </si>
  <si>
    <t>N9=5.55</t>
  </si>
  <si>
    <t>FY=7.7</t>
  </si>
  <si>
    <t>DELHIVERY</t>
  </si>
  <si>
    <t>FY=1.7</t>
  </si>
  <si>
    <t>NATHBIO</t>
  </si>
  <si>
    <t>Q3=0.84</t>
  </si>
  <si>
    <t>N9=21.91</t>
  </si>
  <si>
    <t>MOSCHIP</t>
  </si>
  <si>
    <t>N9=1.43</t>
  </si>
  <si>
    <t>IDFC FIRST</t>
  </si>
  <si>
    <t>AFFLE</t>
  </si>
  <si>
    <t>Q3=8.5</t>
  </si>
  <si>
    <t>N9=23.9</t>
  </si>
  <si>
    <t>SIRCA</t>
  </si>
  <si>
    <t>Q3=2.69</t>
  </si>
  <si>
    <t>N9=8.47</t>
  </si>
  <si>
    <t>ASM</t>
  </si>
  <si>
    <t>Q3=6.38</t>
  </si>
  <si>
    <t>N9=30</t>
  </si>
  <si>
    <t>STOVEKRAFT</t>
  </si>
  <si>
    <t>BDL</t>
  </si>
  <si>
    <t>N9=8.38</t>
  </si>
  <si>
    <t>SESHAPAPER</t>
  </si>
  <si>
    <t>N9=9.38</t>
  </si>
  <si>
    <t>NITIN SPIN</t>
  </si>
  <si>
    <t>Q3=7.9</t>
  </si>
  <si>
    <t>N9=21.38</t>
  </si>
  <si>
    <t xml:space="preserve">ECO </t>
  </si>
  <si>
    <t>MAMATA</t>
  </si>
  <si>
    <t>Q3=3.2</t>
  </si>
  <si>
    <t>N9=6.11</t>
  </si>
  <si>
    <t>ELLEN</t>
  </si>
  <si>
    <t>Q3=1.85</t>
  </si>
  <si>
    <t>N9=5.78</t>
  </si>
  <si>
    <t>FY=7.9</t>
  </si>
  <si>
    <t>SERVOTEC</t>
  </si>
  <si>
    <t>N9=0.94</t>
  </si>
  <si>
    <t>GSM FOILS</t>
  </si>
  <si>
    <t>Q3=3.78</t>
  </si>
  <si>
    <t>FY=13.7</t>
  </si>
  <si>
    <t>GANESH INFRA</t>
  </si>
  <si>
    <t>N9=12.1</t>
  </si>
  <si>
    <t>LATENTVIEW</t>
  </si>
  <si>
    <t>VIDHIING</t>
  </si>
  <si>
    <t>N9=7.17</t>
  </si>
  <si>
    <t>SAKSOFT</t>
  </si>
  <si>
    <t>Q3=2.27</t>
  </si>
  <si>
    <t>N9=7.61</t>
  </si>
  <si>
    <t>SHREERAMA</t>
  </si>
  <si>
    <t>FY-3</t>
  </si>
  <si>
    <t>SILVERTUC</t>
  </si>
  <si>
    <t>N9=17.76</t>
  </si>
  <si>
    <t>NY=40</t>
  </si>
  <si>
    <t>WPIL</t>
  </si>
  <si>
    <t>Q3=5.67</t>
  </si>
  <si>
    <t>N9=12</t>
  </si>
  <si>
    <t>GEEKAY WIRES</t>
  </si>
  <si>
    <t>N9=2.23</t>
  </si>
  <si>
    <t>MAHLIFE</t>
  </si>
  <si>
    <t>Q3=5.43</t>
  </si>
  <si>
    <t>N9=10.37</t>
  </si>
  <si>
    <t>CAMPUS</t>
  </si>
  <si>
    <t>Q3=2.08</t>
  </si>
  <si>
    <t>N9=3.47</t>
  </si>
  <si>
    <t>INDIAN TONERS</t>
  </si>
  <si>
    <t>Q3=6.15</t>
  </si>
  <si>
    <t>N9=18.87</t>
  </si>
  <si>
    <t>HYUNDAI</t>
  </si>
  <si>
    <t>Q3=15.19</t>
  </si>
  <si>
    <t>N9=51.39</t>
  </si>
  <si>
    <t>FY=72</t>
  </si>
  <si>
    <t>UPL</t>
  </si>
  <si>
    <t>Q3=4.69</t>
  </si>
  <si>
    <t>N9=9.59</t>
  </si>
  <si>
    <t>JET FREIGHT</t>
  </si>
  <si>
    <t>AXTEL</t>
  </si>
  <si>
    <t>Q3=4.94</t>
  </si>
  <si>
    <t>MPSLTD</t>
  </si>
  <si>
    <t>Q3=20.93</t>
  </si>
  <si>
    <t>N9=74.38</t>
  </si>
  <si>
    <t>BAJAJHFL</t>
  </si>
  <si>
    <t>N9=2.27</t>
  </si>
  <si>
    <t>AMBAR</t>
  </si>
  <si>
    <t>N9=7.94</t>
  </si>
  <si>
    <t>MODISON</t>
  </si>
  <si>
    <t>Q3=6.1</t>
  </si>
  <si>
    <t>N9=11.26</t>
  </si>
  <si>
    <t>ATHER ENERGY</t>
  </si>
  <si>
    <t>N9=9.25</t>
  </si>
  <si>
    <t>GPT HEALTH</t>
  </si>
  <si>
    <t>Q3=1.14</t>
  </si>
  <si>
    <t>N9=3.37</t>
  </si>
  <si>
    <t>UTKARSH</t>
  </si>
  <si>
    <t>AWFIS</t>
  </si>
  <si>
    <t>N9=6.68</t>
  </si>
  <si>
    <t>OLECTRA</t>
  </si>
  <si>
    <t>Q3=5.65</t>
  </si>
  <si>
    <t>N9=14.86</t>
  </si>
  <si>
    <t>ABLBL</t>
  </si>
  <si>
    <t>N9=0.95</t>
  </si>
  <si>
    <t>POLICYBZR</t>
  </si>
  <si>
    <t>N9=8.91</t>
  </si>
  <si>
    <t>RAILTEL</t>
  </si>
  <si>
    <t>NATIONAL PLASTIC</t>
  </si>
  <si>
    <t>N9=12.65</t>
  </si>
  <si>
    <t>PGEL</t>
  </si>
  <si>
    <t>N9=4.65</t>
  </si>
  <si>
    <t>DHAMPURS</t>
  </si>
  <si>
    <t>HONEYWELL</t>
  </si>
  <si>
    <t>Q3=137</t>
  </si>
  <si>
    <t>N9=413</t>
  </si>
  <si>
    <t>FY=570</t>
  </si>
  <si>
    <t>SUNDARMFIN</t>
  </si>
  <si>
    <t>Q3=49</t>
  </si>
  <si>
    <t>N9=136.53</t>
  </si>
  <si>
    <t>FY=189</t>
  </si>
  <si>
    <t>SHRIPISTON</t>
  </si>
  <si>
    <t>Q3=27.93</t>
  </si>
  <si>
    <t>N9=90</t>
  </si>
  <si>
    <t>FY=121</t>
  </si>
  <si>
    <t>CORONA REMEDIES</t>
  </si>
  <si>
    <t>Q3=6.75</t>
  </si>
  <si>
    <t>N9=22.86</t>
  </si>
  <si>
    <t>BHARATWIRE</t>
  </si>
  <si>
    <t>N9=8.16</t>
  </si>
  <si>
    <t>CHALET</t>
  </si>
  <si>
    <t>EMUDHRA</t>
  </si>
  <si>
    <t>Q3=3.5</t>
  </si>
  <si>
    <t>AARTIIND</t>
  </si>
  <si>
    <t>Q3=3.67</t>
  </si>
  <si>
    <t>N9=7.77</t>
  </si>
  <si>
    <t>BHAGERIA</t>
  </si>
  <si>
    <t>PARADEEP</t>
  </si>
  <si>
    <t>Q3=1.75</t>
  </si>
  <si>
    <t>N9=8.1</t>
  </si>
  <si>
    <t>INTERRACH</t>
  </si>
  <si>
    <t>Q3=22.22</t>
  </si>
  <si>
    <t>N9=58.39</t>
  </si>
  <si>
    <t>ARTEMIS</t>
  </si>
  <si>
    <t>Q3=1.41</t>
  </si>
  <si>
    <t>N9=4.66</t>
  </si>
  <si>
    <t>FY=6.2</t>
  </si>
  <si>
    <t>INDUSTOWER</t>
  </si>
  <si>
    <t>Q3=6.73</t>
  </si>
  <si>
    <t>N9=20.29</t>
  </si>
  <si>
    <t>TRANSRAILL</t>
  </si>
  <si>
    <t>Q3=8.17</t>
  </si>
  <si>
    <t>N9=22.83</t>
  </si>
  <si>
    <t>FABTECH</t>
  </si>
  <si>
    <t>N9=4.49</t>
  </si>
  <si>
    <t>THERMAX</t>
  </si>
  <si>
    <t>N9=42</t>
  </si>
  <si>
    <t>FY=61</t>
  </si>
  <si>
    <t>AKZO</t>
  </si>
  <si>
    <t>Q3=16.32</t>
  </si>
  <si>
    <t>N9=400</t>
  </si>
  <si>
    <t>FY=415</t>
  </si>
  <si>
    <t>SMC GLOBAL</t>
  </si>
  <si>
    <t>Q3=1.46</t>
  </si>
  <si>
    <t>N9=3.86</t>
  </si>
  <si>
    <t>VEEDOL</t>
  </si>
  <si>
    <t>Q3=25.63</t>
  </si>
  <si>
    <t>N9=79</t>
  </si>
  <si>
    <t>VENTIVE</t>
  </si>
  <si>
    <t>N9=8.4</t>
  </si>
  <si>
    <t>SEJAL GLASS</t>
  </si>
  <si>
    <t>TATACHEM</t>
  </si>
  <si>
    <t>CUB</t>
  </si>
  <si>
    <t>MANALI PET</t>
  </si>
  <si>
    <t>Q3=3.98</t>
  </si>
  <si>
    <t>N9=5.87</t>
  </si>
  <si>
    <t>N9=2.5</t>
  </si>
  <si>
    <t>PATEL RETAIL</t>
  </si>
  <si>
    <t>Q3=3.59</t>
  </si>
  <si>
    <t>RUBICON</t>
  </si>
  <si>
    <t>NY=22</t>
  </si>
  <si>
    <t>SAL AUTO</t>
  </si>
  <si>
    <t>N9=6.94</t>
  </si>
  <si>
    <t>GODREJAGRO</t>
  </si>
  <si>
    <t>N9=19.13</t>
  </si>
  <si>
    <t>ACE</t>
  </si>
  <si>
    <t>Q3=9.78</t>
  </si>
  <si>
    <t>N9=25.56</t>
  </si>
  <si>
    <t>FY=36</t>
  </si>
  <si>
    <t>ANUP</t>
  </si>
  <si>
    <t>Q3=12.75</t>
  </si>
  <si>
    <t>N9=41.87</t>
  </si>
  <si>
    <t>FSL</t>
  </si>
  <si>
    <t>Q3=1.74</t>
  </si>
  <si>
    <t>N9=6.779</t>
  </si>
  <si>
    <t>FY=8.7</t>
  </si>
  <si>
    <t>EXPLEO</t>
  </si>
  <si>
    <t>Q3=14.26</t>
  </si>
  <si>
    <t>N9=53</t>
  </si>
  <si>
    <t>FY=66</t>
  </si>
  <si>
    <t>ABCAPITAL</t>
  </si>
  <si>
    <t>CASTROL</t>
  </si>
  <si>
    <t>N9=</t>
  </si>
  <si>
    <t>MANKIND</t>
  </si>
  <si>
    <t>Q3=9.9</t>
  </si>
  <si>
    <t>TCI EXPRESS</t>
  </si>
  <si>
    <t>Q3=5.74</t>
  </si>
  <si>
    <t>N9=16.89</t>
  </si>
  <si>
    <t>DRAGARWAL</t>
  </si>
  <si>
    <t>Q3=37.14</t>
  </si>
  <si>
    <t>N9=116</t>
  </si>
  <si>
    <t>FY=155</t>
  </si>
  <si>
    <t>SOLARIND</t>
  </si>
  <si>
    <t>Q3=49.3</t>
  </si>
  <si>
    <t>N9=125</t>
  </si>
  <si>
    <t>FY=175</t>
  </si>
  <si>
    <t>FY=225</t>
  </si>
  <si>
    <t>ADANIENT</t>
  </si>
  <si>
    <t>Q3=46.78</t>
  </si>
  <si>
    <t>KAMAT HOTEL</t>
  </si>
  <si>
    <t>Q3=6.28</t>
  </si>
  <si>
    <t>KAYCEE</t>
  </si>
  <si>
    <t>Q3=3.43</t>
  </si>
  <si>
    <t>SAREGAMA</t>
  </si>
  <si>
    <t>N9=6.85</t>
  </si>
  <si>
    <t>ROSSELLTECH</t>
  </si>
  <si>
    <t>N9=3.52</t>
  </si>
  <si>
    <t>PCBL</t>
  </si>
  <si>
    <t>Q3=0.05</t>
  </si>
  <si>
    <t>ALKYL AMINE</t>
  </si>
  <si>
    <t>Q3=8.26</t>
  </si>
  <si>
    <t>N9=26.33</t>
  </si>
  <si>
    <t>GABRIEL</t>
  </si>
  <si>
    <t>Q3=3.81</t>
  </si>
  <si>
    <t>N9=12.93</t>
  </si>
  <si>
    <t>DEE DEV</t>
  </si>
  <si>
    <t>N9=7.16</t>
  </si>
  <si>
    <t>HFCL</t>
  </si>
  <si>
    <t>N9=0.92</t>
  </si>
  <si>
    <t>FY=1.23</t>
  </si>
  <si>
    <t>KSL</t>
  </si>
  <si>
    <t>Q3=14.19</t>
  </si>
  <si>
    <t>N9=42.65</t>
  </si>
  <si>
    <t>BHARATSEAT</t>
  </si>
  <si>
    <t>Q3=1.58</t>
  </si>
  <si>
    <t>N9=4.61</t>
  </si>
  <si>
    <t>ZYDUSWELL</t>
  </si>
  <si>
    <t>N9=1.11</t>
  </si>
  <si>
    <t>VALIANT</t>
  </si>
  <si>
    <t>Q3=5.29</t>
  </si>
  <si>
    <t>AMJ</t>
  </si>
  <si>
    <t>Q3=0.32</t>
  </si>
  <si>
    <t>N9=2.34</t>
  </si>
  <si>
    <t>MOBIKWIK</t>
  </si>
  <si>
    <t>Q3=0.52</t>
  </si>
  <si>
    <t>SUNSHEILD</t>
  </si>
  <si>
    <t>Q3=5.83</t>
  </si>
  <si>
    <t>N9=24.61</t>
  </si>
  <si>
    <t>VBL</t>
  </si>
  <si>
    <t>Q3=0.74</t>
  </si>
  <si>
    <t>AWL</t>
  </si>
  <si>
    <t>N9=5.8</t>
  </si>
  <si>
    <t>JENBURKHT</t>
  </si>
  <si>
    <t>Q3=13.44</t>
  </si>
  <si>
    <t>N9=54</t>
  </si>
  <si>
    <t>BAJFINANCE</t>
  </si>
  <si>
    <t>N9=21.81</t>
  </si>
  <si>
    <t>IRM ENERGY</t>
  </si>
  <si>
    <t>Q3=3.4</t>
  </si>
  <si>
    <t>N9=9.85</t>
  </si>
  <si>
    <t>SKF INDUS</t>
  </si>
  <si>
    <t>RPTECH</t>
  </si>
  <si>
    <t>Q3=11.16</t>
  </si>
  <si>
    <t>ADF FOODS</t>
  </si>
  <si>
    <t>FY=7.85</t>
  </si>
  <si>
    <t>TRAULT</t>
  </si>
  <si>
    <t>N9=4.7</t>
  </si>
  <si>
    <t>STERTOOLS</t>
  </si>
  <si>
    <t>N9=7.67</t>
  </si>
  <si>
    <t>LLOYDSME</t>
  </si>
  <si>
    <t>Q3=19.87</t>
  </si>
  <si>
    <t>N9=43</t>
  </si>
  <si>
    <t>DAMCAPITAL</t>
  </si>
  <si>
    <t>Q3=2.84</t>
  </si>
  <si>
    <t>N9=10.25</t>
  </si>
  <si>
    <t>NGL FINE</t>
  </si>
  <si>
    <t>SUYOG</t>
  </si>
  <si>
    <t>Q3=12.57</t>
  </si>
  <si>
    <t xml:space="preserve">KANSAI </t>
  </si>
  <si>
    <t>Q3=1.96</t>
  </si>
  <si>
    <t>N9=5.9</t>
  </si>
  <si>
    <t>AGARWALEYE</t>
  </si>
  <si>
    <t>Q3=1.07</t>
  </si>
  <si>
    <t>N9=2.96</t>
  </si>
  <si>
    <t>FY=4.25</t>
  </si>
  <si>
    <t>INDOFARM</t>
  </si>
  <si>
    <t>Q3=1.16</t>
  </si>
  <si>
    <t>N9=3.32</t>
  </si>
  <si>
    <t>TIMEX</t>
  </si>
  <si>
    <t>Q3=0.19</t>
  </si>
  <si>
    <t>N9=4.4</t>
  </si>
  <si>
    <t>FY=6.7</t>
  </si>
  <si>
    <t>EXCELINDUS</t>
  </si>
  <si>
    <t>Q3=6.71</t>
  </si>
  <si>
    <t>N9=50.42</t>
  </si>
  <si>
    <t>SUDARSHAN</t>
  </si>
  <si>
    <t>N9=13.6</t>
  </si>
  <si>
    <t>AARTIDRUGS</t>
  </si>
  <si>
    <t>Q3=4.44</t>
  </si>
  <si>
    <t>N9=15.3</t>
  </si>
  <si>
    <t>SIGNATURE</t>
  </si>
  <si>
    <t>TRITURBINE</t>
  </si>
  <si>
    <t>N9=7.79</t>
  </si>
  <si>
    <t>Q3=3.54</t>
  </si>
  <si>
    <t>NAZARA</t>
  </si>
  <si>
    <t>N9=0.93</t>
  </si>
  <si>
    <t>FY=2.72</t>
  </si>
  <si>
    <t>V2RETAILA</t>
  </si>
  <si>
    <t>Q3-29</t>
  </si>
  <si>
    <t>JKLAKSHMI</t>
  </si>
  <si>
    <t>Q3=4.58</t>
  </si>
  <si>
    <t>N9=23.2</t>
  </si>
  <si>
    <t>SHEELA</t>
  </si>
  <si>
    <t>Q3=4.77</t>
  </si>
  <si>
    <t>N9=6.26</t>
  </si>
  <si>
    <t>Q3=4.47</t>
  </si>
  <si>
    <t>N9=15.48</t>
  </si>
  <si>
    <t>INDRAMEDCO</t>
  </si>
  <si>
    <t>PIDILITIND</t>
  </si>
  <si>
    <t>Q3=6.07</t>
  </si>
  <si>
    <t>N9=18.38</t>
  </si>
  <si>
    <t>AMRUTANJAN</t>
  </si>
  <si>
    <t>N9=14.43</t>
  </si>
  <si>
    <t>DENORA</t>
  </si>
  <si>
    <t>Q3=4.84</t>
  </si>
  <si>
    <t>N9=18.26</t>
  </si>
  <si>
    <t>BHARATCOAL</t>
  </si>
  <si>
    <t>N9=0.22</t>
  </si>
  <si>
    <t>AETHER IND</t>
  </si>
  <si>
    <t>ADANIPORT</t>
  </si>
  <si>
    <t>N9=43.78</t>
  </si>
  <si>
    <t>PELATRO</t>
  </si>
  <si>
    <t>N9=11.4</t>
  </si>
  <si>
    <t>TSF</t>
  </si>
  <si>
    <t>N9=16.24</t>
  </si>
  <si>
    <t>JOCIL</t>
  </si>
  <si>
    <t>Q3=1.78</t>
  </si>
  <si>
    <t>N9=6.39</t>
  </si>
  <si>
    <t>MURALI</t>
  </si>
  <si>
    <t>SRIDHAR</t>
  </si>
  <si>
    <t>GHANSHYAM</t>
  </si>
  <si>
    <t>TO BE RECEIVED</t>
  </si>
  <si>
    <t>GOPAL ACC</t>
  </si>
  <si>
    <t>POKARNA</t>
  </si>
  <si>
    <t>N9=17.74</t>
  </si>
  <si>
    <t>GLOBAL HEALTH</t>
  </si>
  <si>
    <t>N9=15.35</t>
  </si>
  <si>
    <t>RANE LTD</t>
  </si>
  <si>
    <t>N9=25.52</t>
  </si>
  <si>
    <t>BAJAJHLDNG</t>
  </si>
  <si>
    <t>Q3=181</t>
  </si>
  <si>
    <t>N9=635</t>
  </si>
  <si>
    <t>FY=810</t>
  </si>
  <si>
    <t>ASIAN TILES</t>
  </si>
  <si>
    <t>N9=1.89</t>
  </si>
  <si>
    <t>FY=3.7</t>
  </si>
  <si>
    <t>GLOSTER</t>
  </si>
  <si>
    <t>INDO NATIONAL</t>
  </si>
  <si>
    <t>EMAMI LTD</t>
  </si>
  <si>
    <t>Q3=7.32</t>
  </si>
  <si>
    <t>TEAMLEASE</t>
  </si>
  <si>
    <t>Q3=24.88</t>
  </si>
  <si>
    <t>ORIENTAL RAIL</t>
  </si>
  <si>
    <t>N9=4.53</t>
  </si>
  <si>
    <t>CARYSIL</t>
  </si>
  <si>
    <t>Q3=7.41</t>
  </si>
  <si>
    <t>GREENPLY</t>
  </si>
  <si>
    <t>N9=4.71</t>
  </si>
  <si>
    <t>WESTLIFE</t>
  </si>
  <si>
    <t>RITES</t>
  </si>
  <si>
    <t>WONDERLA</t>
  </si>
  <si>
    <t>Q3=2.28</t>
  </si>
  <si>
    <t>N9=10.3</t>
  </si>
  <si>
    <t>TIINDIA</t>
  </si>
  <si>
    <t>Q3=8.57</t>
  </si>
  <si>
    <t>N9=28.5</t>
  </si>
  <si>
    <t>RESONANCE</t>
  </si>
  <si>
    <t>APTUS</t>
  </si>
  <si>
    <t>Q3=4.72</t>
  </si>
  <si>
    <t>N9=13.65</t>
  </si>
  <si>
    <t>CENTURYPLY</t>
  </si>
  <si>
    <t>Q3=2.87</t>
  </si>
  <si>
    <t>N9=8.31</t>
  </si>
  <si>
    <t>ZENITH FIBRES</t>
  </si>
  <si>
    <t>Q3=6.63</t>
  </si>
  <si>
    <t>N9=7.44</t>
  </si>
  <si>
    <t>EMCURE</t>
  </si>
  <si>
    <t>N9=36</t>
  </si>
  <si>
    <t>WEALTH</t>
  </si>
  <si>
    <t>N9=26.4</t>
  </si>
  <si>
    <t>BAJAJFINSV</t>
  </si>
  <si>
    <t>N9=45.5</t>
  </si>
  <si>
    <t>SIL INV</t>
  </si>
  <si>
    <t>Q3=18.37</t>
  </si>
  <si>
    <t>N9=44</t>
  </si>
  <si>
    <t>NATIONAL FITTING</t>
  </si>
  <si>
    <t>Q3=3.22</t>
  </si>
  <si>
    <t>N9=8.13</t>
  </si>
  <si>
    <t>CERA</t>
  </si>
  <si>
    <t>Q3=18.35</t>
  </si>
  <si>
    <t>NDR AUTO</t>
  </si>
  <si>
    <t>Q3=6.39</t>
  </si>
  <si>
    <t>N9=18.35</t>
  </si>
  <si>
    <t>TMB</t>
  </si>
  <si>
    <t>Q3=21.57</t>
  </si>
  <si>
    <t>N9=61</t>
  </si>
  <si>
    <t>FY=86</t>
  </si>
  <si>
    <t>OCEANIC</t>
  </si>
  <si>
    <t>N9=4.33</t>
  </si>
  <si>
    <t>MANOMAY</t>
  </si>
  <si>
    <t>N9=8.11</t>
  </si>
  <si>
    <t>DRC SYSTEM</t>
  </si>
  <si>
    <t>Q3=0.37</t>
  </si>
  <si>
    <t>FY=1.37</t>
  </si>
  <si>
    <t>EUREKAFORBES</t>
  </si>
  <si>
    <t>N9=5.74</t>
  </si>
  <si>
    <t>INVESTMENT * PRECISION</t>
  </si>
  <si>
    <t>SAMMAN CAP</t>
  </si>
  <si>
    <t>Q3=3.86</t>
  </si>
  <si>
    <t>N9=11.76</t>
  </si>
  <si>
    <t>SANDUR</t>
  </si>
  <si>
    <t>N9=8.66</t>
  </si>
  <si>
    <t>REDINGTON</t>
  </si>
  <si>
    <t>Q3=5.57</t>
  </si>
  <si>
    <t>JUBLINGREA</t>
  </si>
  <si>
    <t>WELENT</t>
  </si>
  <si>
    <t>N9=15.9</t>
  </si>
  <si>
    <t>ZUARI AGRO</t>
  </si>
  <si>
    <t>N9=224</t>
  </si>
  <si>
    <t>FY=230</t>
  </si>
  <si>
    <t>PE=</t>
  </si>
  <si>
    <t>ADVENT</t>
  </si>
  <si>
    <t>N9=1.12</t>
  </si>
  <si>
    <t>FY-2.5</t>
  </si>
  <si>
    <t>METROPOLIS</t>
  </si>
  <si>
    <t>N9=26.85</t>
  </si>
  <si>
    <t>WELINV</t>
  </si>
  <si>
    <t>NHPC</t>
  </si>
  <si>
    <t>Q3=0.2</t>
  </si>
  <si>
    <t>N9=2.3</t>
  </si>
  <si>
    <t>TATAPOWER</t>
  </si>
  <si>
    <t>N9=8.6</t>
  </si>
  <si>
    <t>IVALUE</t>
  </si>
  <si>
    <t>Q3=2.86</t>
  </si>
  <si>
    <t>N9=10.21</t>
  </si>
  <si>
    <t>OCCL</t>
  </si>
  <si>
    <t>N9=5.68</t>
  </si>
  <si>
    <t>TRENT</t>
  </si>
  <si>
    <t>Q3=14.42</t>
  </si>
  <si>
    <t>N9=37</t>
  </si>
  <si>
    <t>TNPETRO</t>
  </si>
  <si>
    <t>N9=9.93</t>
  </si>
  <si>
    <t>KPIL</t>
  </si>
  <si>
    <t>Q3=8.91</t>
  </si>
  <si>
    <t>N9=35.48</t>
  </si>
  <si>
    <t>XPRO</t>
  </si>
  <si>
    <t>Q3=2.91</t>
  </si>
  <si>
    <t>JPPOWER</t>
  </si>
  <si>
    <t>Q3=0.003</t>
  </si>
  <si>
    <t>FY=0.8</t>
  </si>
  <si>
    <t>KEYSTONE</t>
  </si>
  <si>
    <t>PARAG</t>
  </si>
  <si>
    <t>N9=8.48</t>
  </si>
  <si>
    <t>PARKHOTEL</t>
  </si>
  <si>
    <t>N9=2.52</t>
  </si>
  <si>
    <t>INDOTECH</t>
  </si>
  <si>
    <t>Q3=23.45</t>
  </si>
  <si>
    <t>N9=65</t>
  </si>
  <si>
    <t>ADSL</t>
  </si>
  <si>
    <t>N9=7.11</t>
  </si>
  <si>
    <t>IKS</t>
  </si>
  <si>
    <t>HEXT</t>
  </si>
  <si>
    <t>SARLA PERFO</t>
  </si>
  <si>
    <t>N9=5.57</t>
  </si>
  <si>
    <t>CUMMINSIND</t>
  </si>
  <si>
    <t>Q3=17.53</t>
  </si>
  <si>
    <t>N9=61.77</t>
  </si>
  <si>
    <t>JSWCEMENT</t>
  </si>
  <si>
    <t>ACI</t>
  </si>
  <si>
    <t>Q3=1.92</t>
  </si>
  <si>
    <t>N9=7.53</t>
  </si>
  <si>
    <t>TEXEL</t>
  </si>
  <si>
    <t>N9=4.6</t>
  </si>
  <si>
    <t>GRM OVER</t>
  </si>
  <si>
    <t>N9=2.82</t>
  </si>
  <si>
    <t>AUTOAXLES</t>
  </si>
  <si>
    <t>Q3=25.69</t>
  </si>
  <si>
    <t>TIMKEN</t>
  </si>
  <si>
    <t>Q3=7.25</t>
  </si>
  <si>
    <t>N9=34.1</t>
  </si>
  <si>
    <t>EXPENSI</t>
  </si>
  <si>
    <t>CCL</t>
  </si>
  <si>
    <t>N9=20.54</t>
  </si>
  <si>
    <t>ASHIKA</t>
  </si>
  <si>
    <t>N9=14.6</t>
  </si>
  <si>
    <t>FORCEMOT</t>
  </si>
  <si>
    <t>Q3=308</t>
  </si>
  <si>
    <t>N9=708</t>
  </si>
  <si>
    <t>FY=1050</t>
  </si>
  <si>
    <t>TCI</t>
  </si>
  <si>
    <t>Q3=14.96</t>
  </si>
  <si>
    <t>N9=43.53</t>
  </si>
  <si>
    <t>AVALON</t>
  </si>
  <si>
    <t>Q3=4.89</t>
  </si>
  <si>
    <t>N9=10.78</t>
  </si>
  <si>
    <t>BUT GOOD NUMBERS</t>
  </si>
  <si>
    <t>IITL</t>
  </si>
  <si>
    <t>Q3=2.7</t>
  </si>
  <si>
    <t>LLOYD ENGG</t>
  </si>
  <si>
    <t>Q3=0.51</t>
  </si>
  <si>
    <t>N9=1.18</t>
  </si>
  <si>
    <t>BMW</t>
  </si>
  <si>
    <t>Q3=1.61</t>
  </si>
  <si>
    <t>FY=5.25</t>
  </si>
  <si>
    <t>KANPUR</t>
  </si>
  <si>
    <t>Q3=4.56</t>
  </si>
  <si>
    <t>ORIENTCER</t>
  </si>
  <si>
    <t>N9=1.35</t>
  </si>
  <si>
    <t>BUTTERFLY</t>
  </si>
  <si>
    <t>N9=19</t>
  </si>
  <si>
    <t>QPOWER</t>
  </si>
  <si>
    <t>N9=11.28</t>
  </si>
  <si>
    <t>GOOD GROWTH</t>
  </si>
  <si>
    <t>APOLLO TYRE</t>
  </si>
  <si>
    <t>Q3=7.43</t>
  </si>
  <si>
    <t>N9=11.69</t>
  </si>
  <si>
    <t>AURIONPRO</t>
  </si>
  <si>
    <t>Q3=7.83</t>
  </si>
  <si>
    <t>N9=27.47</t>
  </si>
  <si>
    <t>SAATVIK</t>
  </si>
  <si>
    <t>N9=25.6</t>
  </si>
  <si>
    <t>VIRTUOSO</t>
  </si>
  <si>
    <t>GALLANT</t>
  </si>
  <si>
    <t>Q3=4.18</t>
  </si>
  <si>
    <t>BHAGWATI</t>
  </si>
  <si>
    <t>Q3=12.29</t>
  </si>
  <si>
    <t>N9=34.34</t>
  </si>
  <si>
    <t>GANESHCP</t>
  </si>
  <si>
    <t>N9=8.69</t>
  </si>
  <si>
    <t>TRANSPEK</t>
  </si>
  <si>
    <t>Q3=19.43</t>
  </si>
  <si>
    <t>N9=70</t>
  </si>
  <si>
    <t>ASALCBR</t>
  </si>
  <si>
    <t>Q3=14.38</t>
  </si>
  <si>
    <t>ONIX</t>
  </si>
  <si>
    <t>ABANS ENT</t>
  </si>
  <si>
    <t>N9=1.71</t>
  </si>
  <si>
    <t>ABFRL</t>
  </si>
  <si>
    <t>ALFA ICA</t>
  </si>
  <si>
    <t>SIEMENS</t>
  </si>
  <si>
    <t>Q3=7.55</t>
  </si>
  <si>
    <t>SAPPHIRE</t>
  </si>
  <si>
    <t>SOLARA</t>
  </si>
  <si>
    <t>SIMMONSD</t>
  </si>
  <si>
    <t>CESC</t>
  </si>
  <si>
    <t>Q3=2.15</t>
  </si>
  <si>
    <t>N9=8.32</t>
  </si>
  <si>
    <t>GREAVESCOT</t>
  </si>
  <si>
    <t>Q3=1.11</t>
  </si>
  <si>
    <t>BENGAL TEA</t>
  </si>
  <si>
    <t>N9=17.65</t>
  </si>
  <si>
    <t>CANTABIL</t>
  </si>
  <si>
    <t>N9=7.95</t>
  </si>
  <si>
    <t>JKIL</t>
  </si>
  <si>
    <t>N9=36.6</t>
  </si>
  <si>
    <t>SMARTLINK</t>
  </si>
  <si>
    <t>Q3=2.24</t>
  </si>
  <si>
    <t>ELIN</t>
  </si>
  <si>
    <t>N9=4.8</t>
  </si>
  <si>
    <t>FY=8.3</t>
  </si>
  <si>
    <t>ECOPLAST</t>
  </si>
  <si>
    <t>N9=15.85</t>
  </si>
  <si>
    <t>CAPILLARY</t>
  </si>
  <si>
    <t>Q3=1.05</t>
  </si>
  <si>
    <t>N9=1.22</t>
  </si>
  <si>
    <t>NY=7</t>
  </si>
  <si>
    <t>MRF</t>
  </si>
  <si>
    <t>Q3=1631</t>
  </si>
  <si>
    <t>N9=4050</t>
  </si>
  <si>
    <t>FY=5700</t>
  </si>
  <si>
    <t>GANESHHOUC</t>
  </si>
  <si>
    <t>N9=30.57</t>
  </si>
  <si>
    <t>FALL IN EARNING</t>
  </si>
  <si>
    <t>VERANDA</t>
  </si>
  <si>
    <t>N9=12.</t>
  </si>
  <si>
    <t>JUBLPHARMA</t>
  </si>
  <si>
    <t>N9=17.6</t>
  </si>
  <si>
    <t>TARSON</t>
  </si>
  <si>
    <t>Q3=0.95</t>
  </si>
  <si>
    <t>N9=1.91</t>
  </si>
  <si>
    <t>ESTER</t>
  </si>
  <si>
    <t>HEIDELBERG</t>
  </si>
  <si>
    <t>N9=3.92</t>
  </si>
  <si>
    <t>INSPRISYS</t>
  </si>
  <si>
    <t>Q3=4.2</t>
  </si>
  <si>
    <t>STARCEM</t>
  </si>
  <si>
    <t>FY=9.2</t>
  </si>
  <si>
    <t>CENTENKA</t>
  </si>
  <si>
    <t>Q3=10.86</t>
  </si>
  <si>
    <t>PAISALO</t>
  </si>
  <si>
    <t>Q3=0.73</t>
  </si>
  <si>
    <t>N9=1.82</t>
  </si>
  <si>
    <t>BANNARI</t>
  </si>
  <si>
    <t>N9=85</t>
  </si>
  <si>
    <t>SULA</t>
  </si>
  <si>
    <t>SUNTV</t>
  </si>
  <si>
    <t>Q3=8.23</t>
  </si>
  <si>
    <t>TATASTEEL</t>
  </si>
  <si>
    <t>N9=6.31</t>
  </si>
  <si>
    <t>SHREECEM</t>
  </si>
  <si>
    <t>Q3=74</t>
  </si>
  <si>
    <t>N9=337.5</t>
  </si>
  <si>
    <t>FY=490</t>
  </si>
  <si>
    <t>TALBRO ENGG</t>
  </si>
  <si>
    <t>Q3=14.75</t>
  </si>
  <si>
    <t>3BBLACKBI</t>
  </si>
  <si>
    <t>Q3=26</t>
  </si>
  <si>
    <t>N9=58.5</t>
  </si>
  <si>
    <t>JSFB</t>
  </si>
  <si>
    <t>KALYANKJIL</t>
  </si>
  <si>
    <t>N9=9,22</t>
  </si>
  <si>
    <t>GMM PFAUDLER</t>
  </si>
  <si>
    <t>Q3=7.28</t>
  </si>
  <si>
    <t>CROMPTON</t>
  </si>
  <si>
    <t>Q3=1.53</t>
  </si>
  <si>
    <t>MINDTECK</t>
  </si>
  <si>
    <t>SPENCERS</t>
  </si>
  <si>
    <t>RATNAMANI</t>
  </si>
  <si>
    <t>Q3=15.67</t>
  </si>
  <si>
    <t>GNA</t>
  </si>
  <si>
    <t>Q3=7.44</t>
  </si>
  <si>
    <t>GATEWAY</t>
  </si>
  <si>
    <t>N9=3.9</t>
  </si>
  <si>
    <t>GRINDWELL</t>
  </si>
  <si>
    <t>Q3=8.6</t>
  </si>
  <si>
    <t>N9=26.78</t>
  </si>
  <si>
    <t>SHILPAMED</t>
  </si>
  <si>
    <t>Q3=2.3</t>
  </si>
  <si>
    <t>N9=10.56</t>
  </si>
  <si>
    <t>SHREDIGCEM</t>
  </si>
  <si>
    <t>N0=1.15</t>
  </si>
  <si>
    <t>PGHL</t>
  </si>
  <si>
    <t>Q3=47</t>
  </si>
  <si>
    <t>N9=140</t>
  </si>
  <si>
    <t>FY=185</t>
  </si>
  <si>
    <t>BLS INT</t>
  </si>
  <si>
    <t>N9=12.36</t>
  </si>
  <si>
    <t>MAGADH</t>
  </si>
  <si>
    <t>Q3=17</t>
  </si>
  <si>
    <t>BALMLAWRIE</t>
  </si>
  <si>
    <t>Q3=3.89</t>
  </si>
  <si>
    <t>N9=11.23</t>
  </si>
  <si>
    <t>JKTYRE</t>
  </si>
  <si>
    <t>N9=21</t>
  </si>
  <si>
    <t>SREELEATHER</t>
  </si>
  <si>
    <t>Q3=3.25</t>
  </si>
  <si>
    <t>N9=8.24</t>
  </si>
  <si>
    <t>KRN</t>
  </si>
  <si>
    <t>Q3=3.65</t>
  </si>
  <si>
    <t>N9=8.54</t>
  </si>
  <si>
    <t>N9=16.63</t>
  </si>
  <si>
    <t>GPIL</t>
  </si>
  <si>
    <t>Q3=2.23</t>
  </si>
  <si>
    <t>N9=8,48</t>
  </si>
  <si>
    <t>SONATSOFTW</t>
  </si>
  <si>
    <t>Q3=3.76</t>
  </si>
  <si>
    <t>FY=15.9</t>
  </si>
  <si>
    <t>SANATHAN</t>
  </si>
  <si>
    <t>N9=6.6</t>
  </si>
  <si>
    <t>SANGHVIMOV</t>
  </si>
  <si>
    <t>Q3=3.35</t>
  </si>
  <si>
    <t>N9=13.34</t>
  </si>
  <si>
    <t xml:space="preserve">AZAD </t>
  </si>
  <si>
    <t>N9=0.18</t>
  </si>
  <si>
    <t>FY=.4</t>
  </si>
  <si>
    <t>PEE CEE</t>
  </si>
  <si>
    <t>Q3=11.4</t>
  </si>
  <si>
    <t>EXCELSOFT</t>
  </si>
  <si>
    <t>N9=2.62</t>
  </si>
  <si>
    <t>LEMONTREE</t>
  </si>
  <si>
    <t>FY=2.8</t>
  </si>
  <si>
    <t>PRATAAP</t>
  </si>
  <si>
    <t>KALPATARU</t>
  </si>
  <si>
    <t>BROOKS</t>
  </si>
  <si>
    <t>N9=7.83</t>
  </si>
  <si>
    <t>UNIVCABLES</t>
  </si>
  <si>
    <t>Q3=7.84</t>
  </si>
  <si>
    <t>JAYBARMARU</t>
  </si>
  <si>
    <t>FUSION</t>
  </si>
  <si>
    <t>SCI</t>
  </si>
  <si>
    <t>N9=20.36</t>
  </si>
  <si>
    <t>SWAN CORP</t>
  </si>
  <si>
    <t>N9=0.65</t>
  </si>
  <si>
    <t>SHK</t>
  </si>
  <si>
    <t>N9=4.87</t>
  </si>
  <si>
    <t>GMRP&amp;U</t>
  </si>
  <si>
    <t>N9=9.96</t>
  </si>
  <si>
    <t>GRINFRA</t>
  </si>
  <si>
    <t>Q3=26.79</t>
  </si>
  <si>
    <t>N9=72</t>
  </si>
  <si>
    <t>ELNET</t>
  </si>
  <si>
    <t>N9=37.67</t>
  </si>
  <si>
    <t>BAZAARSTYLE</t>
  </si>
  <si>
    <t>Q3=2.54</t>
  </si>
  <si>
    <t>N9=9.72</t>
  </si>
  <si>
    <t>KOVAI</t>
  </si>
  <si>
    <t>Q3=59.42</t>
  </si>
  <si>
    <t>N9=165</t>
  </si>
  <si>
    <t>JITF</t>
  </si>
  <si>
    <t>MAXESTATE</t>
  </si>
  <si>
    <t>Q3=</t>
  </si>
  <si>
    <t>N9=1.23</t>
  </si>
  <si>
    <t>SHARDAMOTR</t>
  </si>
  <si>
    <t>Q3=14.17</t>
  </si>
  <si>
    <t>N9=44.59</t>
  </si>
  <si>
    <t>LENDINGPLATE</t>
  </si>
  <si>
    <t>Q3=6.11</t>
  </si>
  <si>
    <t>N9=15.34</t>
  </si>
  <si>
    <t>ANUH</t>
  </si>
  <si>
    <t>BOSCHLTD</t>
  </si>
  <si>
    <t>Q3=180.5</t>
  </si>
  <si>
    <t>N9=747</t>
  </si>
  <si>
    <t>FY=950</t>
  </si>
  <si>
    <t>SASKEN</t>
  </si>
  <si>
    <t>Q3=5.12</t>
  </si>
  <si>
    <t>N9=17.8</t>
  </si>
  <si>
    <t>VINDHYATEL</t>
  </si>
  <si>
    <t>PGIL</t>
  </si>
  <si>
    <t>Q3=11.58</t>
  </si>
  <si>
    <t>DIFFUSION</t>
  </si>
  <si>
    <t>KIMS</t>
  </si>
  <si>
    <t>N9=4.94</t>
  </si>
  <si>
    <t>RAMRATAN</t>
  </si>
  <si>
    <t>SUDEEP</t>
  </si>
  <si>
    <t>Q3=4.29</t>
  </si>
  <si>
    <t>MEDIASSIST</t>
  </si>
  <si>
    <t>N9=4.81</t>
  </si>
  <si>
    <t>BEML</t>
  </si>
  <si>
    <t>ETHOS LTD</t>
  </si>
  <si>
    <t>Q3=11.46</t>
  </si>
  <si>
    <t>JAYANT AGRO</t>
  </si>
  <si>
    <t>Q3-2.31</t>
  </si>
  <si>
    <t>N9=10.91</t>
  </si>
  <si>
    <t>SOMI CONVEY</t>
  </si>
  <si>
    <t>N9=3.77</t>
  </si>
  <si>
    <t>SPORTKING</t>
  </si>
  <si>
    <t>N9=6.84</t>
  </si>
  <si>
    <t>SARDAEN</t>
  </si>
  <si>
    <t>Q3=5.4</t>
  </si>
  <si>
    <t>N9=26.9</t>
  </si>
  <si>
    <t>TINNA RUBBER</t>
  </si>
  <si>
    <t>Q3=7.22</t>
  </si>
  <si>
    <t>N9=20.5</t>
  </si>
  <si>
    <t>RIDDI SIDDHI</t>
  </si>
  <si>
    <t>Q3=0.55</t>
  </si>
  <si>
    <t>N9=35.5</t>
  </si>
  <si>
    <t>ORIENTBEV</t>
  </si>
  <si>
    <t>Q3=9.53</t>
  </si>
  <si>
    <t>N9=20.77</t>
  </si>
  <si>
    <t>SHETRON</t>
  </si>
  <si>
    <t>Q3=0.41</t>
  </si>
  <si>
    <t>N9=3.38</t>
  </si>
  <si>
    <t>INDIA SHELTER</t>
  </si>
  <si>
    <t>Q3=11.44</t>
  </si>
  <si>
    <t>EUROPRATIK</t>
  </si>
  <si>
    <t>N9=5.47</t>
  </si>
  <si>
    <t>MUNJAL SHOW</t>
  </si>
  <si>
    <t>Q3=2.73</t>
  </si>
  <si>
    <t>N9=5.48</t>
  </si>
  <si>
    <t>WINSOME</t>
  </si>
  <si>
    <t>INDOAMINES</t>
  </si>
  <si>
    <t>GOLDIAM</t>
  </si>
  <si>
    <t>N9=11.81</t>
  </si>
  <si>
    <t>FY=14.8</t>
  </si>
  <si>
    <t>FILATEX</t>
  </si>
  <si>
    <t>SBIN</t>
  </si>
  <si>
    <t>Q3=22.78</t>
  </si>
  <si>
    <t>N9=66.27</t>
  </si>
  <si>
    <t>ATULAUTO</t>
  </si>
  <si>
    <t>AK CAPITAL</t>
  </si>
  <si>
    <t>Q3=38</t>
  </si>
  <si>
    <t>N9=118.5</t>
  </si>
  <si>
    <t>SMS PHARMA</t>
  </si>
  <si>
    <t>N9=7.65</t>
  </si>
  <si>
    <t>MGL</t>
  </si>
  <si>
    <t>Q3=20.36</t>
  </si>
  <si>
    <t>FY=92</t>
  </si>
  <si>
    <t>NAHARCAP</t>
  </si>
  <si>
    <t>Q3=7.81</t>
  </si>
  <si>
    <t>N9=26.84</t>
  </si>
  <si>
    <t>PROZONER</t>
  </si>
  <si>
    <t>N9=0.26</t>
  </si>
  <si>
    <t>HITECH PIPES</t>
  </si>
  <si>
    <t>KINGFA</t>
  </si>
  <si>
    <t>Q3=33.3</t>
  </si>
  <si>
    <t>N9=93</t>
  </si>
  <si>
    <t>FY=126</t>
  </si>
  <si>
    <t>BELLA CASA</t>
  </si>
  <si>
    <t>Q3=3.33</t>
  </si>
  <si>
    <t>N9=11.62</t>
  </si>
  <si>
    <t>NAHARPOLY</t>
  </si>
  <si>
    <t>Q3=7.85</t>
  </si>
  <si>
    <t>N9=23.73</t>
  </si>
  <si>
    <t>HARIOM PIPE</t>
  </si>
  <si>
    <t>Q3=3.74</t>
  </si>
  <si>
    <t>N9=14.73</t>
  </si>
  <si>
    <t>LGBBROS</t>
  </si>
  <si>
    <t>Q3=27.7</t>
  </si>
  <si>
    <t>N9=78</t>
  </si>
  <si>
    <t>STAR DELTA</t>
  </si>
  <si>
    <t>Q3=6.87</t>
  </si>
  <si>
    <t>N9=27.68</t>
  </si>
  <si>
    <t>OSWAL PUMPS</t>
  </si>
  <si>
    <t>Q3=8.25</t>
  </si>
  <si>
    <t>N9=25.59</t>
  </si>
  <si>
    <t>GICRE</t>
  </si>
  <si>
    <t>Q3=9.84</t>
  </si>
  <si>
    <t>N9=40.64</t>
  </si>
  <si>
    <t>HIGHWAY INFRA</t>
  </si>
  <si>
    <t>GANECOS</t>
  </si>
  <si>
    <t>Q3=1.77</t>
  </si>
  <si>
    <t>JSLL</t>
  </si>
  <si>
    <t>N9=14.21</t>
  </si>
  <si>
    <t>RAMKY</t>
  </si>
  <si>
    <t>Q3=11.35</t>
  </si>
  <si>
    <t>KSH INTL</t>
  </si>
  <si>
    <t>SNL BEARING</t>
  </si>
  <si>
    <t>Q3=7.34</t>
  </si>
  <si>
    <t>PACE DIGITEK</t>
  </si>
  <si>
    <t>Q3=3.85</t>
  </si>
  <si>
    <t>HBL ENGINE</t>
  </si>
  <si>
    <t>Q3=7.95</t>
  </si>
  <si>
    <t>VST TILLER</t>
  </si>
  <si>
    <t>Q3=35.21</t>
  </si>
  <si>
    <t>N9=115.28</t>
  </si>
  <si>
    <t>NY=180</t>
  </si>
  <si>
    <t>AARON</t>
  </si>
  <si>
    <t>Q3=0.97</t>
  </si>
  <si>
    <t>N9=2.14</t>
  </si>
  <si>
    <t>FY=3.T</t>
  </si>
  <si>
    <t>HEC INFRA</t>
  </si>
  <si>
    <t>N9=5.98</t>
  </si>
  <si>
    <t>KOTHARIPET</t>
  </si>
  <si>
    <t>Q3=3.18</t>
  </si>
  <si>
    <t>N9=9.29</t>
  </si>
  <si>
    <t>SAKAR</t>
  </si>
  <si>
    <t>N9=8.71</t>
  </si>
  <si>
    <t>TEMBO GLOBAL</t>
  </si>
  <si>
    <t>TOTAL TRANSPORT</t>
  </si>
  <si>
    <t>N9=4.62</t>
  </si>
  <si>
    <t>UNITED NILGIRI</t>
  </si>
  <si>
    <t>Q3=10.65</t>
  </si>
  <si>
    <t>N9=36.59</t>
  </si>
  <si>
    <t>GALA PREC</t>
  </si>
  <si>
    <t>Q3=6.53</t>
  </si>
  <si>
    <t>N9=18.27</t>
  </si>
  <si>
    <t>IMFA</t>
  </si>
  <si>
    <t>Q3=24.33</t>
  </si>
  <si>
    <t>N9=59.5</t>
  </si>
  <si>
    <t>AVADH SUGAR</t>
  </si>
  <si>
    <t>Q3=8.35</t>
  </si>
  <si>
    <t>N9=0.85</t>
  </si>
  <si>
    <t>RAMAVISION</t>
  </si>
  <si>
    <t>N9=4.38</t>
  </si>
  <si>
    <t>MARKSANS</t>
  </si>
  <si>
    <t>N9=5.95</t>
  </si>
  <si>
    <t>FY=8.4</t>
  </si>
  <si>
    <t>PVRINOX</t>
  </si>
  <si>
    <t>Q3=9.75</t>
  </si>
  <si>
    <t>VOLTAMP</t>
  </si>
  <si>
    <t>Q3=98</t>
  </si>
  <si>
    <t>N9=254</t>
  </si>
  <si>
    <t>FY=355</t>
  </si>
  <si>
    <t>PFC</t>
  </si>
  <si>
    <t>N9=57.28</t>
  </si>
  <si>
    <t>MAXHEALTH</t>
  </si>
  <si>
    <t>N9=11.32</t>
  </si>
  <si>
    <t>STANDARD ELECT</t>
  </si>
  <si>
    <t>DEEPIND</t>
  </si>
  <si>
    <t>Q3=10.63</t>
  </si>
  <si>
    <t>N9=30.36</t>
  </si>
  <si>
    <t>SUZLON</t>
  </si>
  <si>
    <t>NAVA</t>
  </si>
  <si>
    <t>Q3=7.86</t>
  </si>
  <si>
    <t>N9=23.35</t>
  </si>
  <si>
    <t>IOC</t>
  </si>
  <si>
    <t>Q3=9.44</t>
  </si>
  <si>
    <t>ANTHEM</t>
  </si>
  <si>
    <t>CAPLIN</t>
  </si>
  <si>
    <t>Q3=21.56</t>
  </si>
  <si>
    <t>ANANDRAYON</t>
  </si>
  <si>
    <t>MEGASTAR</t>
  </si>
  <si>
    <t>N9=6.25</t>
  </si>
  <si>
    <t>KAMA HOLDING</t>
  </si>
  <si>
    <t>Q3=68</t>
  </si>
  <si>
    <t>N9=198</t>
  </si>
  <si>
    <t>FY=270</t>
  </si>
  <si>
    <t>GODREJPRO</t>
  </si>
  <si>
    <t>Q3=6.48</t>
  </si>
  <si>
    <t>N9=39.85</t>
  </si>
  <si>
    <t>VENUSPIPE</t>
  </si>
  <si>
    <t>Q3=12.46</t>
  </si>
  <si>
    <t>UNOMINDA</t>
  </si>
  <si>
    <t>HARSHA</t>
  </si>
  <si>
    <t>N9=11.86</t>
  </si>
  <si>
    <t>ZYDUSLIFE</t>
  </si>
  <si>
    <t>Q3=10.36</t>
  </si>
  <si>
    <t>N9=37.44</t>
  </si>
  <si>
    <t>KPRMILL</t>
  </si>
  <si>
    <t>N9=18.7</t>
  </si>
  <si>
    <t>MBEL</t>
  </si>
  <si>
    <t>N9=12.18</t>
  </si>
  <si>
    <t>EBGNG</t>
  </si>
  <si>
    <t>Q3=3.34</t>
  </si>
  <si>
    <t>BHARTIARTL</t>
  </si>
  <si>
    <t>KNRCON</t>
  </si>
  <si>
    <t>Q3=3.66</t>
  </si>
  <si>
    <t>BHARTIHEXA</t>
  </si>
  <si>
    <t>Q3=9.47</t>
  </si>
  <si>
    <t>N9=25.73</t>
  </si>
  <si>
    <t>NYKAA</t>
  </si>
  <si>
    <t>Q3=0.22</t>
  </si>
  <si>
    <t>N9=0.42</t>
  </si>
  <si>
    <t>FY=0.9</t>
  </si>
  <si>
    <t>TMPV</t>
  </si>
  <si>
    <t>AAVAS</t>
  </si>
  <si>
    <t>Q3=21.48</t>
  </si>
  <si>
    <t>N9=59.78</t>
  </si>
  <si>
    <t>ASTRAL</t>
  </si>
  <si>
    <t>BERGEPAINT</t>
  </si>
  <si>
    <t>N9=6.75</t>
  </si>
  <si>
    <t>RVNL</t>
  </si>
  <si>
    <t>Q3=1.55</t>
  </si>
  <si>
    <t>FY=5.3</t>
  </si>
  <si>
    <t>VRLLOG</t>
  </si>
  <si>
    <t>Q3=3.7</t>
  </si>
  <si>
    <t>N9=9.41</t>
  </si>
  <si>
    <t>UNICHEM</t>
  </si>
  <si>
    <t>Q3=37.54</t>
  </si>
  <si>
    <t>N9=34</t>
  </si>
  <si>
    <t>SEMAC</t>
  </si>
  <si>
    <t>DHANUKA</t>
  </si>
  <si>
    <t>Q3=8.87</t>
  </si>
  <si>
    <t>BAJEL</t>
  </si>
  <si>
    <t>N9=0.53</t>
  </si>
  <si>
    <t>THOMASCOOK</t>
  </si>
  <si>
    <t>POLYMED</t>
  </si>
  <si>
    <t>N9=25.25</t>
  </si>
  <si>
    <t>COCHIN MINERAL</t>
  </si>
  <si>
    <t>N9=11.75</t>
  </si>
  <si>
    <t>VARROC</t>
  </si>
  <si>
    <t>MINDACORP</t>
  </si>
  <si>
    <t>Q3=3.64</t>
  </si>
  <si>
    <t>PAGEIND</t>
  </si>
  <si>
    <t>Q3=170</t>
  </si>
  <si>
    <t>N9=525</t>
  </si>
  <si>
    <t>FY=700</t>
  </si>
  <si>
    <t>P</t>
  </si>
  <si>
    <t>BOROSIL</t>
  </si>
  <si>
    <t>APLPHARMA</t>
  </si>
  <si>
    <t>Q3=6.76</t>
  </si>
  <si>
    <t>N9=24</t>
  </si>
  <si>
    <t>YATHARTH</t>
  </si>
  <si>
    <t>N9=13.35</t>
  </si>
  <si>
    <t>SHIVATEX</t>
  </si>
  <si>
    <t>N9=7.64</t>
  </si>
  <si>
    <t>NILKAMAL</t>
  </si>
  <si>
    <t>SAYAJI HOTEL PUNE</t>
  </si>
  <si>
    <t>Q3=19.24</t>
  </si>
  <si>
    <t>RISHABH</t>
  </si>
  <si>
    <t>Q3=5.19</t>
  </si>
  <si>
    <t>KIRLOSBROS</t>
  </si>
  <si>
    <t>Q3=8.45</t>
  </si>
  <si>
    <t>POWERINDIA</t>
  </si>
  <si>
    <t>Q3=58.65</t>
  </si>
  <si>
    <t>N9=147</t>
  </si>
  <si>
    <t>FY=200</t>
  </si>
  <si>
    <t>SBCL</t>
  </si>
  <si>
    <t>DATAPATTERN</t>
  </si>
  <si>
    <t>Q3=10.42</t>
  </si>
  <si>
    <t>N9=23.76</t>
  </si>
  <si>
    <t>SURAKSH</t>
  </si>
  <si>
    <t>287/7</t>
  </si>
  <si>
    <t>NCC</t>
  </si>
  <si>
    <t>Q3=1.95</t>
  </si>
  <si>
    <t>N9=7.47</t>
  </si>
  <si>
    <t>EVEREADY</t>
  </si>
  <si>
    <t>WABAG</t>
  </si>
  <si>
    <t>Q3=15.63</t>
  </si>
  <si>
    <t>N9=47.57</t>
  </si>
  <si>
    <t>KOLTE</t>
  </si>
  <si>
    <t>SHREEJI SHIP</t>
  </si>
  <si>
    <t>JMFINAN</t>
  </si>
  <si>
    <t>N9=10.84</t>
  </si>
  <si>
    <t>HPL</t>
  </si>
  <si>
    <t>N9=9.35</t>
  </si>
  <si>
    <t>GOKUL</t>
  </si>
  <si>
    <t>Q3=2.63</t>
  </si>
  <si>
    <t>N9=8.49</t>
  </si>
  <si>
    <t>KENNAMETA</t>
  </si>
  <si>
    <t>DLINK</t>
  </si>
  <si>
    <t>Q3=7.52</t>
  </si>
  <si>
    <t>N9=21.54</t>
  </si>
  <si>
    <t>JKPAPER</t>
  </si>
  <si>
    <t>WINDLAS</t>
  </si>
  <si>
    <t>Q3=7.12</t>
  </si>
  <si>
    <t>CEMPRO</t>
  </si>
  <si>
    <t>Q3=6.45</t>
  </si>
  <si>
    <t>N9=20.7</t>
  </si>
  <si>
    <t>PRIMEFRESH</t>
  </si>
  <si>
    <t>Q3=3.46</t>
  </si>
  <si>
    <t>N9=7.86</t>
  </si>
  <si>
    <t>DISA INDAI</t>
  </si>
  <si>
    <t>Q3=104.52</t>
  </si>
  <si>
    <t>N9=278</t>
  </si>
  <si>
    <t>FY=400</t>
  </si>
  <si>
    <t>KRSHNAA</t>
  </si>
  <si>
    <t>N9=18.45</t>
  </si>
  <si>
    <t>BLS</t>
  </si>
  <si>
    <t>BBL</t>
  </si>
  <si>
    <t>Q3=21.84</t>
  </si>
  <si>
    <t>N9=71.48</t>
  </si>
  <si>
    <t>SANDESH</t>
  </si>
  <si>
    <t>Q3=51</t>
  </si>
  <si>
    <t>N9=132</t>
  </si>
  <si>
    <t>REPCOHOME</t>
  </si>
  <si>
    <t>Q3=18.45</t>
  </si>
  <si>
    <t>N9=54.38</t>
  </si>
  <si>
    <t>PITTIENG</t>
  </si>
  <si>
    <t>N9=20.16</t>
  </si>
  <si>
    <t>GOODRICKE</t>
  </si>
  <si>
    <t>N9=25.35</t>
  </si>
  <si>
    <t>CTE</t>
  </si>
  <si>
    <t>Q3=0.64</t>
  </si>
  <si>
    <t>WANBURY</t>
  </si>
  <si>
    <t>Q3=4.52</t>
  </si>
  <si>
    <t>N9=13.22</t>
  </si>
  <si>
    <t>KAYNES</t>
  </si>
  <si>
    <t>Q3=11.34</t>
  </si>
  <si>
    <t>N9=41.55</t>
  </si>
  <si>
    <t>PWL</t>
  </si>
  <si>
    <t>N9=0.2</t>
  </si>
  <si>
    <t>FY=.67</t>
  </si>
  <si>
    <t>ASHAPURAMIN</t>
  </si>
  <si>
    <t>Q3=8.82</t>
  </si>
  <si>
    <t>N9=30.43</t>
  </si>
  <si>
    <t>SKFINDIA</t>
  </si>
  <si>
    <t>Q3=12.5</t>
  </si>
  <si>
    <t>N9=57.8</t>
  </si>
  <si>
    <t>FY=99</t>
  </si>
  <si>
    <t>SAYAJI HOTEL INDORE</t>
  </si>
  <si>
    <t>Q3=19.27</t>
  </si>
  <si>
    <t>N9=25.71</t>
  </si>
  <si>
    <t>VIYASH</t>
  </si>
  <si>
    <t>N9=2.91</t>
  </si>
  <si>
    <t>HEROMOTOC</t>
  </si>
  <si>
    <t>Q3=63</t>
  </si>
  <si>
    <t>N9=214</t>
  </si>
  <si>
    <t>UDS</t>
  </si>
  <si>
    <t>DALMIASUG</t>
  </si>
  <si>
    <t>Q3=8.59</t>
  </si>
  <si>
    <t>N9=16.33</t>
  </si>
  <si>
    <t>SAILIFE</t>
  </si>
  <si>
    <t>BLACKBUCK</t>
  </si>
  <si>
    <t>DREDGECORP</t>
  </si>
  <si>
    <t>FDC</t>
  </si>
  <si>
    <t>HINDCOPPER</t>
  </si>
  <si>
    <t>LICI</t>
  </si>
  <si>
    <t>Q3=20.44</t>
  </si>
  <si>
    <t>N9=53.73</t>
  </si>
  <si>
    <t>FY=84</t>
  </si>
  <si>
    <t>VIDYAWIRES</t>
  </si>
  <si>
    <t>Q3=0.72</t>
  </si>
  <si>
    <t>N9=1.78</t>
  </si>
  <si>
    <t>MAZAGON</t>
  </si>
  <si>
    <t>Q3=21.81</t>
  </si>
  <si>
    <t>N9=51.6</t>
  </si>
  <si>
    <t>KPRMIL</t>
  </si>
  <si>
    <t>BEMCO</t>
  </si>
  <si>
    <t>N9=2.16</t>
  </si>
  <si>
    <t xml:space="preserve">HISAR </t>
  </si>
  <si>
    <t>N9=4.85</t>
  </si>
  <si>
    <t>SAMKRG</t>
  </si>
  <si>
    <t>N9=6.21</t>
  </si>
  <si>
    <t>FY=7.4</t>
  </si>
  <si>
    <t>JYOTHY LAB</t>
  </si>
  <si>
    <t>MANINDS</t>
  </si>
  <si>
    <t>Q3=7.64</t>
  </si>
  <si>
    <t>N9=16.6</t>
  </si>
  <si>
    <t>LOTUS DEV</t>
  </si>
  <si>
    <t>ZODIAC ENERGY</t>
  </si>
  <si>
    <t>N9=6.24</t>
  </si>
  <si>
    <t>SKY GOLD</t>
  </si>
  <si>
    <t>Q3=5.2</t>
  </si>
  <si>
    <t>N9=12.61</t>
  </si>
  <si>
    <t>GARGI</t>
  </si>
  <si>
    <t>Q3=10.13</t>
  </si>
  <si>
    <t>N9=25.16</t>
  </si>
  <si>
    <t>PNGJL</t>
  </si>
  <si>
    <t>Q3=12.59</t>
  </si>
  <si>
    <t>N9=23.55</t>
  </si>
  <si>
    <t>TAJGVK</t>
  </si>
  <si>
    <t>Q3=5.9</t>
  </si>
  <si>
    <t>N9=14.44</t>
  </si>
  <si>
    <t>BAJAJELEC</t>
  </si>
  <si>
    <t>EIEL</t>
  </si>
  <si>
    <t>N9=7.46</t>
  </si>
  <si>
    <t>N9=93.42</t>
  </si>
  <si>
    <t>FY=122</t>
  </si>
  <si>
    <t>DONEAR</t>
  </si>
  <si>
    <t>Q3=3.37</t>
  </si>
  <si>
    <t>LLOYDENT</t>
  </si>
  <si>
    <t>N9=2.63</t>
  </si>
  <si>
    <t>CEIGALL</t>
  </si>
  <si>
    <t>Q3=4.16</t>
  </si>
  <si>
    <t>N9=10.33</t>
  </si>
  <si>
    <t>FREDUN</t>
  </si>
  <si>
    <t>Q3=22.19</t>
  </si>
  <si>
    <t>N9=56.5</t>
  </si>
  <si>
    <t>FY=79</t>
  </si>
  <si>
    <t>BCLIND</t>
  </si>
  <si>
    <t>FY=4.2</t>
  </si>
  <si>
    <t>KAIRA CAN</t>
  </si>
  <si>
    <t>N9=13.99</t>
  </si>
  <si>
    <t>SUPRAJIT</t>
  </si>
  <si>
    <t>NORTHERN SPIRIT</t>
  </si>
  <si>
    <t>N9=13.8</t>
  </si>
  <si>
    <t>EMIL</t>
  </si>
  <si>
    <t>Q3=0.77</t>
  </si>
  <si>
    <t>N9=1.75</t>
  </si>
  <si>
    <t>VENKEYS</t>
  </si>
  <si>
    <t>Q3=34.48</t>
  </si>
  <si>
    <t>N9=26.89</t>
  </si>
  <si>
    <t>AJIT PAPER</t>
  </si>
  <si>
    <t>Q3=8.47</t>
  </si>
  <si>
    <t>KSCL</t>
  </si>
  <si>
    <t>N9=63.5</t>
  </si>
  <si>
    <t>CHEA</t>
  </si>
  <si>
    <t>GRAPHIT</t>
  </si>
  <si>
    <t>N9=14.28</t>
  </si>
  <si>
    <t>VINYOFLEX</t>
  </si>
  <si>
    <t>BSL LTD</t>
  </si>
  <si>
    <t>N9=3.27</t>
  </si>
  <si>
    <t>TEXMACO</t>
  </si>
  <si>
    <t>N9=3.42</t>
  </si>
  <si>
    <t>POLYCHEM</t>
  </si>
  <si>
    <t>Q3=20.28</t>
  </si>
  <si>
    <t>N9=77.39</t>
  </si>
  <si>
    <t>FY=98</t>
  </si>
  <si>
    <t>JUBLAGRI</t>
  </si>
  <si>
    <t>Q3=14.3</t>
  </si>
  <si>
    <t>NEULAND</t>
  </si>
  <si>
    <t>Q3=31.62</t>
  </si>
  <si>
    <t>N9=118</t>
  </si>
  <si>
    <t>PNCINFRA</t>
  </si>
  <si>
    <t>Q3=2.99</t>
  </si>
  <si>
    <t>ANLON</t>
  </si>
  <si>
    <t>N9=3.94</t>
  </si>
  <si>
    <t>FERMENTA</t>
  </si>
  <si>
    <t>N9=18.58</t>
  </si>
  <si>
    <t>APOLLO</t>
  </si>
  <si>
    <t>N9=2.13</t>
  </si>
  <si>
    <t>INDOSMC</t>
  </si>
  <si>
    <t>GSKPHARMA</t>
  </si>
  <si>
    <t>Q3=16.54</t>
  </si>
  <si>
    <t>MOLDTEK</t>
  </si>
  <si>
    <t>N9=15.72</t>
  </si>
  <si>
    <t>CPEDU</t>
  </si>
  <si>
    <t>Q3=2.81</t>
  </si>
  <si>
    <t>N9=9.55</t>
  </si>
  <si>
    <t>INDOSTAR</t>
  </si>
  <si>
    <t>JYOTI RESIN</t>
  </si>
  <si>
    <t>Q3=13</t>
  </si>
  <si>
    <t>AFSL</t>
  </si>
  <si>
    <t>Q3=6.78</t>
  </si>
  <si>
    <t>N9=21.51</t>
  </si>
  <si>
    <t>EIHAHOTEL</t>
  </si>
  <si>
    <t>Q3=6.66</t>
  </si>
  <si>
    <t>JAINREC</t>
  </si>
  <si>
    <t>Q3=3.75</t>
  </si>
  <si>
    <t>HAPPY FORGE</t>
  </si>
  <si>
    <t>N9=23.13</t>
  </si>
  <si>
    <t>CEINSYS</t>
  </si>
  <si>
    <t>Q3=21.79</t>
  </si>
  <si>
    <t>N9=54.41</t>
  </si>
  <si>
    <t>GENUSPOWER</t>
  </si>
  <si>
    <t>N9-15.2</t>
  </si>
  <si>
    <t>Q3=2.14</t>
  </si>
  <si>
    <t>N9=5.58</t>
  </si>
  <si>
    <t>AGIIL</t>
  </si>
  <si>
    <t>DREAMFOLKS</t>
  </si>
  <si>
    <t>N9=4.63</t>
  </si>
  <si>
    <t>GSFC</t>
  </si>
  <si>
    <t>N9=15.58</t>
  </si>
  <si>
    <t>ITL IND</t>
  </si>
  <si>
    <t>N9=23.54</t>
  </si>
  <si>
    <t>PERMANENT</t>
  </si>
  <si>
    <t>Q3=2.62</t>
  </si>
  <si>
    <t>N9=12.54</t>
  </si>
  <si>
    <t>ROLEX RING</t>
  </si>
  <si>
    <t>N9=5.19</t>
  </si>
  <si>
    <t>SOUTHWEST</t>
  </si>
  <si>
    <t>Q3=3.09</t>
  </si>
  <si>
    <t>NAVINFLOUR</t>
  </si>
  <si>
    <t>Q3=36.18</t>
  </si>
  <si>
    <t>MUFTI</t>
  </si>
  <si>
    <t>GICHSFIN</t>
  </si>
  <si>
    <t>N9=18.78</t>
  </si>
  <si>
    <t>ROLCON</t>
  </si>
  <si>
    <t>Q3=4.64</t>
  </si>
  <si>
    <t>N9=31.6</t>
  </si>
  <si>
    <t>LINDEINDIA</t>
  </si>
  <si>
    <t>Q3=22.67</t>
  </si>
  <si>
    <t>N9=55.25</t>
  </si>
  <si>
    <t>RAMCOCEM</t>
  </si>
  <si>
    <t>Q3=16.31</t>
  </si>
  <si>
    <t>N9=23.18</t>
  </si>
  <si>
    <t>NELCAST</t>
  </si>
  <si>
    <t>N9=3.81</t>
  </si>
  <si>
    <t>UNIPARTS</t>
  </si>
  <si>
    <t>Q3=7.38</t>
  </si>
  <si>
    <t>N9=23.74</t>
  </si>
  <si>
    <t>ITDC</t>
  </si>
  <si>
    <t>Q3=3.26</t>
  </si>
  <si>
    <t>N9=6.36</t>
  </si>
  <si>
    <t>TCPL PACKAGING</t>
  </si>
  <si>
    <t>Q3=27.52</t>
  </si>
  <si>
    <t>N9=83.6</t>
  </si>
  <si>
    <t>HARRMALAYA</t>
  </si>
  <si>
    <t>N9=10.85</t>
  </si>
  <si>
    <t>MANGAL CREDITA</t>
  </si>
  <si>
    <t>N9=4.84</t>
  </si>
  <si>
    <t>LORDSCHLORO</t>
  </si>
  <si>
    <t>Q3=1.83</t>
  </si>
  <si>
    <t>ASRAFI</t>
  </si>
  <si>
    <t>AXISCADES</t>
  </si>
  <si>
    <t>N9=16.82</t>
  </si>
  <si>
    <t>PRIVISCL</t>
  </si>
  <si>
    <t>Q3=20</t>
  </si>
  <si>
    <t>N9=60</t>
  </si>
  <si>
    <t>SUPRIYA</t>
  </si>
  <si>
    <t>Q3=6.17</t>
  </si>
  <si>
    <t>N9=16.76</t>
  </si>
  <si>
    <t>ARIHANTCAP</t>
  </si>
  <si>
    <t>Q3=0.49</t>
  </si>
  <si>
    <t>N9=2.95</t>
  </si>
  <si>
    <t>JNK INDIA</t>
  </si>
  <si>
    <t>AUROPHARMA</t>
  </si>
  <si>
    <t>N9=44.48</t>
  </si>
  <si>
    <t>IPL</t>
  </si>
  <si>
    <t>N9=7.75</t>
  </si>
  <si>
    <t>MCLOUD</t>
  </si>
  <si>
    <t>Q3=0.5</t>
  </si>
  <si>
    <t>TGV</t>
  </si>
  <si>
    <t>Q3=2.61</t>
  </si>
  <si>
    <t>N9=9.71</t>
  </si>
  <si>
    <t>Q3=19.53</t>
  </si>
  <si>
    <t>N9=49.71</t>
  </si>
  <si>
    <t>MUTHOOTMICR</t>
  </si>
  <si>
    <t>N9=5.92</t>
  </si>
  <si>
    <t>AARTIPHARMA</t>
  </si>
  <si>
    <t>N9=13.84</t>
  </si>
  <si>
    <t>GULFOIL</t>
  </si>
  <si>
    <t>N9=55.74</t>
  </si>
  <si>
    <t>FY=75</t>
  </si>
  <si>
    <t>NRBBEARING</t>
  </si>
  <si>
    <t>N9=11.34</t>
  </si>
  <si>
    <t>BATAINDIA</t>
  </si>
  <si>
    <t>Q3=5.14</t>
  </si>
  <si>
    <t>N9=10.27</t>
  </si>
  <si>
    <t>SIGNPOST</t>
  </si>
  <si>
    <t>Q3=3.39</t>
  </si>
  <si>
    <t>N9=9.19</t>
  </si>
  <si>
    <t>ALLTIME</t>
  </si>
  <si>
    <t>HAPPIESTMIND</t>
  </si>
  <si>
    <t>DYNAMATECH</t>
  </si>
  <si>
    <t>ROUTE</t>
  </si>
  <si>
    <t>Q3=15.51</t>
  </si>
  <si>
    <t>N9=20.59</t>
  </si>
  <si>
    <t>AY=46</t>
  </si>
  <si>
    <t>PFIZER</t>
  </si>
  <si>
    <t>Q3=40.42</t>
  </si>
  <si>
    <t>N9=123.65</t>
  </si>
  <si>
    <t>ISGEC</t>
  </si>
  <si>
    <t>N9=32.74</t>
  </si>
  <si>
    <t>SANSERA</t>
  </si>
  <si>
    <t>N9=32.66</t>
  </si>
  <si>
    <t>VADILAL</t>
  </si>
  <si>
    <t xml:space="preserve">BSE </t>
  </si>
  <si>
    <t>Q3=14.61</t>
  </si>
  <si>
    <t>THEJO</t>
  </si>
  <si>
    <t>Q3=8.2</t>
  </si>
  <si>
    <t>JUBLFOOD</t>
  </si>
  <si>
    <t>N9=4.11</t>
  </si>
  <si>
    <t>EDELWEISS</t>
  </si>
  <si>
    <t>VHL</t>
  </si>
  <si>
    <t>Q3=168</t>
  </si>
  <si>
    <t>N9=508</t>
  </si>
  <si>
    <t>FY=760</t>
  </si>
  <si>
    <t>WAKEFIT</t>
  </si>
  <si>
    <t>Q3=1.01</t>
  </si>
  <si>
    <t>DANLAW</t>
  </si>
  <si>
    <t>N9=27.62</t>
  </si>
  <si>
    <t>SHANTIGOLD</t>
  </si>
  <si>
    <t>Q3=6.26</t>
  </si>
  <si>
    <t>N9=16.95</t>
  </si>
  <si>
    <t>AMBER</t>
  </si>
  <si>
    <t>N9=12.44</t>
  </si>
  <si>
    <t>AY=90</t>
  </si>
  <si>
    <t>NIRLON</t>
  </si>
  <si>
    <t>Q3=7.69</t>
  </si>
  <si>
    <t>N9=30.56</t>
  </si>
  <si>
    <t>INDIA GELATINE</t>
  </si>
  <si>
    <t>WOCKPHARMA</t>
  </si>
  <si>
    <t>N9=2.89</t>
  </si>
  <si>
    <t>FINCABLES</t>
  </si>
  <si>
    <t>Q3=10.73</t>
  </si>
  <si>
    <t>NUCLEUS</t>
  </si>
  <si>
    <t>VISHAL FABRIC</t>
  </si>
  <si>
    <t>N9=1.14</t>
  </si>
  <si>
    <t>BAID</t>
  </si>
  <si>
    <t>FY=1.45</t>
  </si>
  <si>
    <t>SHREYANS IND</t>
  </si>
  <si>
    <t>DHUNSERI</t>
  </si>
  <si>
    <t>MOREPEN</t>
  </si>
  <si>
    <t>N9=1.45</t>
  </si>
  <si>
    <t>BAJAJINDEF</t>
  </si>
  <si>
    <t>LUMAXIND</t>
  </si>
  <si>
    <t>Q3=49.79</t>
  </si>
  <si>
    <t>N9=126.5</t>
  </si>
  <si>
    <t>FY=177</t>
  </si>
  <si>
    <t>KIRIINDUS</t>
  </si>
  <si>
    <t>Q3=834</t>
  </si>
  <si>
    <t>N9=862</t>
  </si>
  <si>
    <t>FY=875</t>
  </si>
  <si>
    <t>SHARAT IND</t>
  </si>
  <si>
    <t>Q3=1.21</t>
  </si>
  <si>
    <t>MOTHERSON</t>
  </si>
  <si>
    <t>N9=2.24</t>
  </si>
  <si>
    <t>FY=3.35</t>
  </si>
  <si>
    <t>ROSSELL IND</t>
  </si>
  <si>
    <t>N9=10.52</t>
  </si>
  <si>
    <t>ADC COMM</t>
  </si>
  <si>
    <t>Q3=13.33</t>
  </si>
  <si>
    <t>N9=33.51</t>
  </si>
  <si>
    <t>DDEV</t>
  </si>
  <si>
    <t>N9=14.23</t>
  </si>
  <si>
    <t>JYOTICNC</t>
  </si>
  <si>
    <t>Q3=4.62</t>
  </si>
  <si>
    <t>N9=11.27</t>
  </si>
  <si>
    <t>AMBIKCO</t>
  </si>
  <si>
    <t>Q3=26.5</t>
  </si>
  <si>
    <t>N9=82</t>
  </si>
  <si>
    <t>AMANTA</t>
  </si>
  <si>
    <t>N9=2.72</t>
  </si>
  <si>
    <t>NILE</t>
  </si>
  <si>
    <t>N9=136.44</t>
  </si>
  <si>
    <t>RICO AUTO</t>
  </si>
  <si>
    <t>N9=3.29</t>
  </si>
  <si>
    <t>DCW</t>
  </si>
  <si>
    <t>Q3=0.17</t>
  </si>
  <si>
    <t>N9=1.02</t>
  </si>
  <si>
    <t>FY=1.3</t>
  </si>
  <si>
    <t>JSL IND</t>
  </si>
  <si>
    <t>Q3=6.29</t>
  </si>
  <si>
    <t>N9=17.86</t>
  </si>
  <si>
    <t>BLISSGVS</t>
  </si>
  <si>
    <t>N9=8.86</t>
  </si>
  <si>
    <t>FY=10.9</t>
  </si>
  <si>
    <t>NLCINDIA</t>
  </si>
  <si>
    <t>N9=16.5</t>
  </si>
  <si>
    <t>FY=21.5</t>
  </si>
  <si>
    <t>SHANKARA</t>
  </si>
  <si>
    <t>KHADIM</t>
  </si>
  <si>
    <t>Q3=LOS</t>
  </si>
  <si>
    <t>N9=1.28</t>
  </si>
  <si>
    <t>ESCORTS</t>
  </si>
  <si>
    <t>Q3=32.57</t>
  </si>
  <si>
    <t>N9=95</t>
  </si>
  <si>
    <t>FY=127</t>
  </si>
  <si>
    <t>REGAAL</t>
  </si>
  <si>
    <t>Q3=1.27</t>
  </si>
  <si>
    <t>Q3=6.72</t>
  </si>
  <si>
    <t>N9=26.63</t>
  </si>
  <si>
    <t>SAFARI</t>
  </si>
  <si>
    <t>RISHIROOP</t>
  </si>
  <si>
    <t>N9=13.44</t>
  </si>
  <si>
    <t>TAAL ENT</t>
  </si>
  <si>
    <t>Q3=37.35</t>
  </si>
  <si>
    <t>N9=127</t>
  </si>
  <si>
    <t>EICHERMOT</t>
  </si>
  <si>
    <t>Q3=51.79</t>
  </si>
  <si>
    <t>N9=145</t>
  </si>
  <si>
    <t>OIL</t>
  </si>
  <si>
    <t>Q3=7.35</t>
  </si>
  <si>
    <t>N9=27.79</t>
  </si>
  <si>
    <t>KIRLFERROUS</t>
  </si>
  <si>
    <t>Q3=3.23</t>
  </si>
  <si>
    <t>N9=14.25</t>
  </si>
  <si>
    <t>PRINCEPIPE</t>
  </si>
  <si>
    <t>N9=1.73</t>
  </si>
  <si>
    <t>FY=3.9</t>
  </si>
  <si>
    <t>RDB RASAYAN</t>
  </si>
  <si>
    <t>N9=15.75</t>
  </si>
  <si>
    <t>BALRAMCHIN</t>
  </si>
  <si>
    <t>Q3=5.63</t>
  </si>
  <si>
    <t>ZFVCS</t>
  </si>
  <si>
    <t>N9=195.51</t>
  </si>
  <si>
    <t>BHAGIRDA</t>
  </si>
  <si>
    <t>Q3=0.36</t>
  </si>
  <si>
    <t>N9=1.089</t>
  </si>
  <si>
    <t>MOTISON</t>
  </si>
  <si>
    <t>N9=0.56</t>
  </si>
  <si>
    <t>FY=0.85</t>
  </si>
  <si>
    <t>GPPL</t>
  </si>
  <si>
    <t>N9=7.71</t>
  </si>
  <si>
    <t>KRISHNIVAL</t>
  </si>
  <si>
    <t>Q3=2.88</t>
  </si>
  <si>
    <t>N9=7.45</t>
  </si>
  <si>
    <t>INDIAGLYCO</t>
  </si>
  <si>
    <t>Q3=10.79</t>
  </si>
  <si>
    <t>KILBURN</t>
  </si>
  <si>
    <t>VIKRAM THERMO</t>
  </si>
  <si>
    <t>N9=9.56</t>
  </si>
  <si>
    <t>TITAN</t>
  </si>
  <si>
    <t>N9=43.91</t>
  </si>
  <si>
    <t>HCP PLASTENE</t>
  </si>
  <si>
    <t>Q3=7.8</t>
  </si>
  <si>
    <t>KKCL</t>
  </si>
  <si>
    <t>Q3=5.54</t>
  </si>
  <si>
    <t>N9=17.91</t>
  </si>
  <si>
    <t>TORNTPOWER</t>
  </si>
  <si>
    <t>Q3=12.76</t>
  </si>
  <si>
    <t>N9=41.64</t>
  </si>
  <si>
    <t>ASHAPURI</t>
  </si>
  <si>
    <t>N9=0.52</t>
  </si>
  <si>
    <t>FY=0.7</t>
  </si>
  <si>
    <t>KM SUGAR</t>
  </si>
  <si>
    <t>OVOBEL</t>
  </si>
  <si>
    <t>Q3=2.92</t>
  </si>
  <si>
    <t>N9=12.56</t>
  </si>
  <si>
    <t>MAXINDIA</t>
  </si>
  <si>
    <t>GEECEE</t>
  </si>
  <si>
    <t>N9=8.85</t>
  </si>
  <si>
    <t>RODIUM</t>
  </si>
  <si>
    <t>Q3=6.33</t>
  </si>
  <si>
    <t>N9=15.73</t>
  </si>
  <si>
    <t>DHARMAJ</t>
  </si>
  <si>
    <t>GULPOLY</t>
  </si>
  <si>
    <t>Q3=6.56</t>
  </si>
  <si>
    <t>N9=11.16</t>
  </si>
  <si>
    <t>CHAMBALFERT</t>
  </si>
  <si>
    <t>Q3=14.64</t>
  </si>
  <si>
    <t>N9=44.53</t>
  </si>
  <si>
    <t>MVGJL</t>
  </si>
  <si>
    <t>N9=17.77</t>
  </si>
  <si>
    <t>TECHNOE</t>
  </si>
  <si>
    <t>Q3=10.25</t>
  </si>
  <si>
    <t>HINDUSTAN FOOD</t>
  </si>
  <si>
    <t>N9=8.67</t>
  </si>
  <si>
    <t>GNFC</t>
  </si>
  <si>
    <t>Q3=10.2</t>
  </si>
  <si>
    <t>GRASIM</t>
  </si>
  <si>
    <t>Q3=15.28</t>
  </si>
  <si>
    <t>SUBEX</t>
  </si>
  <si>
    <t>FY=.7</t>
  </si>
  <si>
    <t>ARVSMART</t>
  </si>
  <si>
    <t>Q3=6.27</t>
  </si>
  <si>
    <t>HLE GLASS</t>
  </si>
  <si>
    <t>N9=4.55</t>
  </si>
  <si>
    <t>WSFX</t>
  </si>
  <si>
    <t>DEV IT</t>
  </si>
  <si>
    <t>N9=11.83</t>
  </si>
  <si>
    <t>LANDMARK</t>
  </si>
  <si>
    <t>Q3=3.42</t>
  </si>
  <si>
    <t>N9=5.38</t>
  </si>
  <si>
    <t>IIFLCAP</t>
  </si>
  <si>
    <t>N9=14.4</t>
  </si>
  <si>
    <t>TEXMO</t>
  </si>
  <si>
    <t>FY=6.15</t>
  </si>
  <si>
    <t>LAXMI DENTA</t>
  </si>
  <si>
    <t>KTKBANK</t>
  </si>
  <si>
    <t>ASHIANA HOUSING</t>
  </si>
  <si>
    <t>N9=9.79</t>
  </si>
  <si>
    <t>ROTO PUMP</t>
  </si>
  <si>
    <t>Q3=0.25</t>
  </si>
  <si>
    <t>SDBL</t>
  </si>
  <si>
    <t>BRITANNIA</t>
  </si>
  <si>
    <t>Q3=28</t>
  </si>
  <si>
    <t>N9=77</t>
  </si>
  <si>
    <t xml:space="preserve">MAGNA </t>
  </si>
  <si>
    <t>Q3=8.67</t>
  </si>
  <si>
    <t>N9=37.38</t>
  </si>
  <si>
    <t>EIHLTD</t>
  </si>
  <si>
    <t>AFCONS</t>
  </si>
  <si>
    <t>N9=9.23</t>
  </si>
  <si>
    <t>AIIL</t>
  </si>
  <si>
    <t>Q3=9.51</t>
  </si>
  <si>
    <t>HEG</t>
  </si>
  <si>
    <t>Q3=10.72</t>
  </si>
  <si>
    <t>N9=23.58</t>
  </si>
  <si>
    <t>ELDECO</t>
  </si>
  <si>
    <t>Q3=13.9</t>
  </si>
  <si>
    <t>N9=19.77</t>
  </si>
  <si>
    <t>SPECIALITY</t>
  </si>
  <si>
    <t>Q3=1.76</t>
  </si>
  <si>
    <t>N9=3.84</t>
  </si>
  <si>
    <t>AFCOM</t>
  </si>
  <si>
    <t>Q3=15.48</t>
  </si>
  <si>
    <t>N9=37.61</t>
  </si>
  <si>
    <t>POWERMECH</t>
  </si>
  <si>
    <t>Q3=29.73</t>
  </si>
  <si>
    <t>S&amp;S</t>
  </si>
  <si>
    <t>N9=6.65</t>
  </si>
  <si>
    <t>ALLCARGO</t>
  </si>
  <si>
    <t>MANGALAM SEED</t>
  </si>
  <si>
    <t>N9=6.34</t>
  </si>
  <si>
    <t>FY=9.3</t>
  </si>
  <si>
    <t>HITECHCORP</t>
  </si>
  <si>
    <t>N9=3.67</t>
  </si>
  <si>
    <t>GANDHISPTUBE</t>
  </si>
  <si>
    <t>Q3=16.21</t>
  </si>
  <si>
    <t>N9=48.55</t>
  </si>
  <si>
    <t>FMGOETZE</t>
  </si>
  <si>
    <t>Q3=4.99</t>
  </si>
  <si>
    <t>N9=21.68</t>
  </si>
  <si>
    <t>TERA SOFT</t>
  </si>
  <si>
    <t>Q3=5.08</t>
  </si>
  <si>
    <t>RHL</t>
  </si>
  <si>
    <t>Q3=4.1</t>
  </si>
  <si>
    <t>N9=9.8</t>
  </si>
  <si>
    <t>PDS</t>
  </si>
  <si>
    <t>HUHTAMKI</t>
  </si>
  <si>
    <t>FY=15.65</t>
  </si>
  <si>
    <t>UBL</t>
  </si>
  <si>
    <t>N9=11.78</t>
  </si>
  <si>
    <t>LAXMIINDIA</t>
  </si>
  <si>
    <t>ESABINDIA</t>
  </si>
  <si>
    <t>N9=106</t>
  </si>
  <si>
    <t>FY=135</t>
  </si>
  <si>
    <t>PANAMA PETRO</t>
  </si>
  <si>
    <t>Q3=7.57</t>
  </si>
  <si>
    <t>N9=23.38</t>
  </si>
  <si>
    <t>DBL</t>
  </si>
  <si>
    <t>Q3=48.5</t>
  </si>
  <si>
    <t>N9-78</t>
  </si>
  <si>
    <t>FY-100</t>
  </si>
  <si>
    <t>BAMBINO</t>
  </si>
  <si>
    <t>N9=11.97</t>
  </si>
  <si>
    <t>BHARATGEAR</t>
  </si>
  <si>
    <t>VADILALENT</t>
  </si>
  <si>
    <t>N9=170</t>
  </si>
  <si>
    <t>GRPLTD</t>
  </si>
  <si>
    <t>N9=8.55</t>
  </si>
  <si>
    <t>BANSWARAS</t>
  </si>
  <si>
    <t>N9=5.76</t>
  </si>
  <si>
    <t>APOLLOHOSP</t>
  </si>
  <si>
    <t>Q3=34.94</t>
  </si>
  <si>
    <t>N9=98.23</t>
  </si>
  <si>
    <t>NY=200</t>
  </si>
  <si>
    <t>TVSSCS</t>
  </si>
  <si>
    <t>N9=2.19</t>
  </si>
  <si>
    <t>NEPHROPLUS</t>
  </si>
  <si>
    <t>N9=5.34</t>
  </si>
  <si>
    <t>PRECOT</t>
  </si>
  <si>
    <t>Q3=4.81</t>
  </si>
  <si>
    <t>PAR DRUGS</t>
  </si>
  <si>
    <t>MACPOWER</t>
  </si>
  <si>
    <t>Q3=9.79</t>
  </si>
  <si>
    <t>N9=23.72</t>
  </si>
  <si>
    <t>RNFI</t>
  </si>
  <si>
    <t>MODERN INSULATOR</t>
  </si>
  <si>
    <t>N9=11.87</t>
  </si>
  <si>
    <t>RSYTEM</t>
  </si>
  <si>
    <t>FY=15.73</t>
  </si>
  <si>
    <t>JTEKTINDIA</t>
  </si>
  <si>
    <t>N9=1.84</t>
  </si>
  <si>
    <t>FY=2.9</t>
  </si>
  <si>
    <t>VICEROY</t>
  </si>
  <si>
    <t>Q3=1.63</t>
  </si>
  <si>
    <t>N9=1.83</t>
  </si>
  <si>
    <t>ECOSMOBILITY</t>
  </si>
  <si>
    <t>N9=6.97</t>
  </si>
  <si>
    <t>ASHOKLEY</t>
  </si>
  <si>
    <t>HP COTTON</t>
  </si>
  <si>
    <t>BL KASHYAP</t>
  </si>
  <si>
    <t>N9=0.62</t>
  </si>
  <si>
    <t>JUNIPER</t>
  </si>
  <si>
    <t>Q3=2.94</t>
  </si>
  <si>
    <t>N9=4.1</t>
  </si>
  <si>
    <t>IGARASHI</t>
  </si>
  <si>
    <t>N9=3.35</t>
  </si>
  <si>
    <t>MANINFRA</t>
  </si>
  <si>
    <t>N9=4.01</t>
  </si>
  <si>
    <t>KECL</t>
  </si>
  <si>
    <t>RELCHEM</t>
  </si>
  <si>
    <t>M&amp;M</t>
  </si>
  <si>
    <t>Q3=41.85</t>
  </si>
  <si>
    <t>N9=111</t>
  </si>
  <si>
    <t>KMC SPECIALITY</t>
  </si>
  <si>
    <t>N9=1.97</t>
  </si>
  <si>
    <t>NY=4</t>
  </si>
  <si>
    <t>MERCURY LAB</t>
  </si>
  <si>
    <t>Q3=8.31</t>
  </si>
  <si>
    <t>TAINWALA</t>
  </si>
  <si>
    <t>N9=10.76</t>
  </si>
  <si>
    <t>LENSKART</t>
  </si>
  <si>
    <t>N9=1.74</t>
  </si>
  <si>
    <t>NY=6</t>
  </si>
  <si>
    <t>CAPACITE</t>
  </si>
  <si>
    <t>N9=17.56</t>
  </si>
  <si>
    <t>SPAL</t>
  </si>
  <si>
    <t>Q3=10.76</t>
  </si>
  <si>
    <t>N9=32.82</t>
  </si>
  <si>
    <t>AVANTIFEED</t>
  </si>
  <si>
    <t>HIMATSEIDE</t>
  </si>
  <si>
    <t>N9=4.82</t>
  </si>
  <si>
    <t>FY=6.9</t>
  </si>
  <si>
    <t>BIL</t>
  </si>
  <si>
    <t>Q3=5.0</t>
  </si>
  <si>
    <t>ADVAIT</t>
  </si>
  <si>
    <t>N9=31.73</t>
  </si>
  <si>
    <t>MASSIVE GROWTH CONTINUES</t>
  </si>
  <si>
    <t>HIRECT</t>
  </si>
  <si>
    <t>Q3=7.58</t>
  </si>
  <si>
    <t>SJVN</t>
  </si>
  <si>
    <t>N9=1.93</t>
  </si>
  <si>
    <t>Q3=10.3</t>
  </si>
  <si>
    <t>N9=35.65</t>
  </si>
  <si>
    <t>IOLCP</t>
  </si>
  <si>
    <t>Q3=0.7</t>
  </si>
  <si>
    <t>FY=3.91</t>
  </si>
  <si>
    <t>SURYAROSNI</t>
  </si>
  <si>
    <t>N9=8.62</t>
  </si>
  <si>
    <t>KDDL</t>
  </si>
  <si>
    <t>Q3=18.69</t>
  </si>
  <si>
    <t>N9=51</t>
  </si>
  <si>
    <t>SGIL</t>
  </si>
  <si>
    <t>N9=2.73</t>
  </si>
  <si>
    <t>ASIANSTAR</t>
  </si>
  <si>
    <t>Q3=5.28</t>
  </si>
  <si>
    <t>N9=24.67</t>
  </si>
  <si>
    <t>RAMCOIND</t>
  </si>
  <si>
    <t>SANDHAR</t>
  </si>
  <si>
    <t>N9=22.4</t>
  </si>
  <si>
    <t>MAJESTIC AUTO</t>
  </si>
  <si>
    <t>Q3=5.24</t>
  </si>
  <si>
    <t>CGVAK</t>
  </si>
  <si>
    <t>Q3=6.41</t>
  </si>
  <si>
    <t>N9=18.84</t>
  </si>
  <si>
    <t>MRS.BECTOR</t>
  </si>
  <si>
    <t xml:space="preserve">PASUPATI </t>
  </si>
  <si>
    <t>PRECAM</t>
  </si>
  <si>
    <t>N9=4.34</t>
  </si>
  <si>
    <t>SALZER</t>
  </si>
  <si>
    <t>TBOTEK</t>
  </si>
  <si>
    <t>N9=17.25</t>
  </si>
  <si>
    <t>SIKA</t>
  </si>
  <si>
    <t>N9=13.5</t>
  </si>
  <si>
    <t>BOROSCI</t>
  </si>
  <si>
    <t>N9=0.83</t>
  </si>
  <si>
    <t>GARFIBRES</t>
  </si>
  <si>
    <t>=</t>
  </si>
  <si>
    <t>UNIV STARCH</t>
  </si>
  <si>
    <t>Q3=12.47</t>
  </si>
  <si>
    <t>METROGLOBAL</t>
  </si>
  <si>
    <t>Q3=4.78</t>
  </si>
  <si>
    <t>LUDLOW</t>
  </si>
  <si>
    <t>N9=13.69</t>
  </si>
  <si>
    <t>HIKAL</t>
  </si>
  <si>
    <t>NR AGARWAL</t>
  </si>
  <si>
    <t>Q3=8.4</t>
  </si>
  <si>
    <t>N9=17.33</t>
  </si>
  <si>
    <t>PRIMA PLASTIC</t>
  </si>
  <si>
    <t>Q3=4.6</t>
  </si>
  <si>
    <t>JWL</t>
  </si>
  <si>
    <t>ELGI EQUIP</t>
  </si>
  <si>
    <t>N9=9.57</t>
  </si>
  <si>
    <t>BAJAJ STEEL</t>
  </si>
  <si>
    <t>HIND TIN</t>
  </si>
  <si>
    <t>Q3=2.45</t>
  </si>
  <si>
    <t>TALBRO AUTO</t>
  </si>
  <si>
    <t>Q3=4.41</t>
  </si>
  <si>
    <t>N9=11.74</t>
  </si>
  <si>
    <t>APEX</t>
  </si>
  <si>
    <t>N9=9.94</t>
  </si>
  <si>
    <t>EXPESIVE</t>
  </si>
  <si>
    <t>ORKLA</t>
  </si>
  <si>
    <t>IRCON</t>
  </si>
  <si>
    <t>N9=4.29</t>
  </si>
  <si>
    <t>FY=6.75</t>
  </si>
  <si>
    <t>KIRLOSOIL</t>
  </si>
  <si>
    <t>Q3=7.68</t>
  </si>
  <si>
    <t>N9=28.8</t>
  </si>
  <si>
    <t>GODREJIND</t>
  </si>
  <si>
    <t>N9=23.5</t>
  </si>
  <si>
    <t>SHRINGAR</t>
  </si>
  <si>
    <t>N9=9.98</t>
  </si>
  <si>
    <t>COSMOFIRST</t>
  </si>
  <si>
    <t>N9=46</t>
  </si>
  <si>
    <t>CARE RATING</t>
  </si>
  <si>
    <t>N9=39.46</t>
  </si>
  <si>
    <t>INDO GULF</t>
  </si>
  <si>
    <t>HERANBA</t>
  </si>
  <si>
    <t>MFSL</t>
  </si>
  <si>
    <t>Q3=1.02</t>
  </si>
  <si>
    <t>N9=3.22</t>
  </si>
  <si>
    <t>CENTURY EXTRUSION</t>
  </si>
  <si>
    <t>BAYERCROP</t>
  </si>
  <si>
    <t>Q3=21.29</t>
  </si>
  <si>
    <t>FY=145</t>
  </si>
  <si>
    <t>AMAGI</t>
  </si>
  <si>
    <t>Q3=1.32</t>
  </si>
  <si>
    <t>N9=1.85</t>
  </si>
  <si>
    <t>IZMO</t>
  </si>
  <si>
    <t>SHREEPUSHK</t>
  </si>
  <si>
    <t>Q3=5.59</t>
  </si>
  <si>
    <t>N9=17.7</t>
  </si>
  <si>
    <t>NOCIL</t>
  </si>
  <si>
    <t>N9=2.31</t>
  </si>
  <si>
    <t>TIIL</t>
  </si>
  <si>
    <t>Q3=23.46</t>
  </si>
  <si>
    <t>N9=92</t>
  </si>
  <si>
    <t>FY=124</t>
  </si>
  <si>
    <t>PROTEAN</t>
  </si>
  <si>
    <t>Q3=5.55</t>
  </si>
  <si>
    <t>N9=17.3</t>
  </si>
  <si>
    <t>AMARAJABAT</t>
  </si>
  <si>
    <t>Q3=7.66</t>
  </si>
  <si>
    <t>N9=31.7</t>
  </si>
  <si>
    <t>EMPIRE</t>
  </si>
  <si>
    <t>FY=71</t>
  </si>
  <si>
    <t>DIVISLAB</t>
  </si>
  <si>
    <t>N9=68.44</t>
  </si>
  <si>
    <t>APTECHT</t>
  </si>
  <si>
    <t>Q3=1.48</t>
  </si>
  <si>
    <t>N9=3.75</t>
  </si>
  <si>
    <t>FIEM IND</t>
  </si>
  <si>
    <t>BDH IND</t>
  </si>
  <si>
    <t>MSTC</t>
  </si>
  <si>
    <t>Q3=7.3</t>
  </si>
  <si>
    <t>DOLLAR</t>
  </si>
  <si>
    <t>Q3-3.24</t>
  </si>
  <si>
    <t>N9=13.2</t>
  </si>
  <si>
    <t>PREMCO</t>
  </si>
  <si>
    <t>Q3=5.16</t>
  </si>
  <si>
    <t>N9=21.3</t>
  </si>
  <si>
    <t>CARRARO</t>
  </si>
  <si>
    <t>N9=15.64</t>
  </si>
  <si>
    <t>BYKE</t>
  </si>
  <si>
    <t>N9=0.96</t>
  </si>
  <si>
    <t>LGEINDIA</t>
  </si>
  <si>
    <t>N9=14.62</t>
  </si>
  <si>
    <t>YATRA</t>
  </si>
  <si>
    <t>N9=2.46</t>
  </si>
  <si>
    <t>NISUS</t>
  </si>
  <si>
    <t>RADHIKA</t>
  </si>
  <si>
    <t>N9=5.7</t>
  </si>
  <si>
    <t>ACKNIT</t>
  </si>
  <si>
    <t>CYBERTECH</t>
  </si>
  <si>
    <t>Q3=2.1</t>
  </si>
  <si>
    <t>N9=7.5</t>
  </si>
  <si>
    <t>ASTRAZEN</t>
  </si>
  <si>
    <t>BAL PHARMA</t>
  </si>
  <si>
    <t>N9=1.69</t>
  </si>
  <si>
    <t>TPL PLAST</t>
  </si>
  <si>
    <t>N9=2.69</t>
  </si>
  <si>
    <t>NIBE</t>
  </si>
  <si>
    <t>Q3=0.45</t>
  </si>
  <si>
    <t>RITCO</t>
  </si>
  <si>
    <t>N9=9.77</t>
  </si>
  <si>
    <t>MOBAVENUE</t>
  </si>
  <si>
    <t>PATANJALI</t>
  </si>
  <si>
    <t xml:space="preserve">VIBRANT </t>
  </si>
  <si>
    <t>KILITCH</t>
  </si>
  <si>
    <t>CHEAO</t>
  </si>
  <si>
    <t>LINC</t>
  </si>
  <si>
    <t>PANACEA</t>
  </si>
  <si>
    <t>NEOGEN</t>
  </si>
  <si>
    <t>N9=6.57</t>
  </si>
  <si>
    <t>DBREALTY</t>
  </si>
  <si>
    <t>N9=1.59</t>
  </si>
  <si>
    <t>MAZDA</t>
  </si>
  <si>
    <t>Q3=4.36</t>
  </si>
  <si>
    <t>CONCORD</t>
  </si>
  <si>
    <t>N9=16.32</t>
  </si>
  <si>
    <t>OMDC</t>
  </si>
  <si>
    <t>Q3=7.24</t>
  </si>
  <si>
    <t xml:space="preserve">GOCL </t>
  </si>
  <si>
    <t>Q3=33</t>
  </si>
  <si>
    <t>N9=291</t>
  </si>
  <si>
    <t>FY=330</t>
  </si>
  <si>
    <t>NPST</t>
  </si>
  <si>
    <t>MORGANITE</t>
  </si>
  <si>
    <t>Q3=9.94</t>
  </si>
  <si>
    <t>GVPIL</t>
  </si>
  <si>
    <t>Q3=14.86</t>
  </si>
  <si>
    <t>SHALBY</t>
  </si>
  <si>
    <t>HALEOS</t>
  </si>
  <si>
    <t>Q3=21.89</t>
  </si>
  <si>
    <t>N9=55.82</t>
  </si>
  <si>
    <t>GLOBAL EDU</t>
  </si>
  <si>
    <t>FY=5.</t>
  </si>
  <si>
    <t>MARINE ELECTRICAL</t>
  </si>
  <si>
    <t>N9-2.89</t>
  </si>
  <si>
    <t>BLUEWATER LOGI</t>
  </si>
  <si>
    <t>Q3=7.21</t>
  </si>
  <si>
    <t>BBOX</t>
  </si>
  <si>
    <t>Q3=4.21</t>
  </si>
  <si>
    <t>N9=11.88</t>
  </si>
  <si>
    <t xml:space="preserve">PURITY </t>
  </si>
  <si>
    <t>Q3=0.03</t>
  </si>
  <si>
    <t>ABBOTT</t>
  </si>
  <si>
    <t>Q3=177</t>
  </si>
  <si>
    <t>N9=544</t>
  </si>
  <si>
    <t>FY=725</t>
  </si>
  <si>
    <t>SHADOW</t>
  </si>
  <si>
    <t>FLUOROCHEM</t>
  </si>
  <si>
    <t>N9=42.34</t>
  </si>
  <si>
    <t>DECCENCE</t>
  </si>
  <si>
    <t>HLV</t>
  </si>
  <si>
    <t>FY=.2</t>
  </si>
  <si>
    <t>EUROPANEL</t>
  </si>
  <si>
    <t>N9=7.51</t>
  </si>
  <si>
    <t>N9=3.55</t>
  </si>
  <si>
    <t>TAMBOLI</t>
  </si>
  <si>
    <t>N9=5.75</t>
  </si>
  <si>
    <t>RAJPALAYAM</t>
  </si>
  <si>
    <t>Q3=65</t>
  </si>
  <si>
    <t>MATRIMONY</t>
  </si>
  <si>
    <t>TVS SRICHAKR</t>
  </si>
  <si>
    <t>REMSON</t>
  </si>
  <si>
    <t>KWALITY PHARM</t>
  </si>
  <si>
    <t>Q3=15.42</t>
  </si>
  <si>
    <t>N9=40.51</t>
  </si>
  <si>
    <t>NARMADA GEL</t>
  </si>
  <si>
    <t>Q3=13.89</t>
  </si>
  <si>
    <t>KJMC</t>
  </si>
  <si>
    <t>N9=5.43</t>
  </si>
  <si>
    <t>LINCOL</t>
  </si>
  <si>
    <t>Q3=14.28</t>
  </si>
  <si>
    <t>KERNEX</t>
  </si>
  <si>
    <t>HUL</t>
  </si>
  <si>
    <t>N9=32.49</t>
  </si>
  <si>
    <t>GARUDA</t>
  </si>
  <si>
    <t>N9=9.47</t>
  </si>
  <si>
    <t>DHABRIYA</t>
  </si>
  <si>
    <t>BARODA EXTRU</t>
  </si>
  <si>
    <t>Q3=0.13</t>
  </si>
  <si>
    <t>FY=0.38</t>
  </si>
  <si>
    <t>KELTECH</t>
  </si>
  <si>
    <t>N9=202</t>
  </si>
  <si>
    <t>FY=275</t>
  </si>
  <si>
    <t>NATCOPHARM</t>
  </si>
  <si>
    <t>Q3=8.48</t>
  </si>
  <si>
    <t>N9=64</t>
  </si>
  <si>
    <t>LUMAXAUTO</t>
  </si>
  <si>
    <t>Q3=12.1</t>
  </si>
  <si>
    <t>WSTCSTPAPR</t>
  </si>
  <si>
    <t>ASTRAMICRO</t>
  </si>
  <si>
    <t>Q3=4.93</t>
  </si>
  <si>
    <t>N9=9.1</t>
  </si>
  <si>
    <t>UDAY</t>
  </si>
  <si>
    <t>N9=5.14</t>
  </si>
  <si>
    <t>CHOKSI</t>
  </si>
  <si>
    <t>MOLDTECH</t>
  </si>
  <si>
    <t>N9=2.71</t>
  </si>
  <si>
    <t>T&amp;I</t>
  </si>
  <si>
    <t>KPT</t>
  </si>
  <si>
    <t>REDTAPE</t>
  </si>
  <si>
    <t>Q3=1.89</t>
  </si>
  <si>
    <t>N9=3.09</t>
  </si>
  <si>
    <t>3MINDIA</t>
  </si>
  <si>
    <t>N9=272</t>
  </si>
  <si>
    <t>WELSPUNLIV</t>
  </si>
  <si>
    <t>Q3=.21</t>
  </si>
  <si>
    <t xml:space="preserve">IST </t>
  </si>
  <si>
    <t>N9=139</t>
  </si>
  <si>
    <t>YASHO</t>
  </si>
  <si>
    <t>HONASA</t>
  </si>
  <si>
    <t>BLACKROSE</t>
  </si>
  <si>
    <t>Q3=0.86</t>
  </si>
  <si>
    <t>WEIZMAN</t>
  </si>
  <si>
    <t>N9=4.12</t>
  </si>
  <si>
    <t>MUKAND</t>
  </si>
  <si>
    <t>N9=3.4</t>
  </si>
  <si>
    <t>PEARL</t>
  </si>
  <si>
    <t>MODERN ENGG</t>
  </si>
  <si>
    <t>N9=5.26</t>
  </si>
  <si>
    <t>PRAJIND</t>
  </si>
  <si>
    <t>MUTHOOTFIN</t>
  </si>
  <si>
    <t>KAMDENU</t>
  </si>
  <si>
    <t>N9=0.08</t>
  </si>
  <si>
    <t>FY=.12</t>
  </si>
  <si>
    <t>TEGA</t>
  </si>
  <si>
    <t>Q3=2.83</t>
  </si>
  <si>
    <t>N9=14.79</t>
  </si>
  <si>
    <t>AUSOM</t>
  </si>
  <si>
    <t>Q3=1.51</t>
  </si>
  <si>
    <t>MIDWEST</t>
  </si>
  <si>
    <t>AUSTIN</t>
  </si>
  <si>
    <t>Q3=2.8</t>
  </si>
  <si>
    <t>N9=10.48</t>
  </si>
  <si>
    <t>TIGERLOG</t>
  </si>
  <si>
    <t>N9=1.88</t>
  </si>
  <si>
    <t>INSOLATION</t>
  </si>
  <si>
    <t>N9=5.89</t>
  </si>
  <si>
    <t>MUNJALAU</t>
  </si>
  <si>
    <t>PREMEXPLN</t>
  </si>
  <si>
    <t>BANCO</t>
  </si>
  <si>
    <t>Q3=4.73</t>
  </si>
  <si>
    <t>N9=22.1</t>
  </si>
  <si>
    <t>IHCL</t>
  </si>
  <si>
    <t>Q3=6.35</t>
  </si>
  <si>
    <t>N9=10.4</t>
  </si>
  <si>
    <t>PRAVEG</t>
  </si>
  <si>
    <t>ZAGGLE</t>
  </si>
  <si>
    <t>PATELINT</t>
  </si>
  <si>
    <t>Q3=0.39</t>
  </si>
  <si>
    <t>FY=1.35</t>
  </si>
  <si>
    <t>FINEORG</t>
  </si>
  <si>
    <t>N9=97</t>
  </si>
  <si>
    <t>HMA AGRO</t>
  </si>
  <si>
    <t>N9=3.13</t>
  </si>
  <si>
    <t>PANASONIC</t>
  </si>
  <si>
    <t>Q3=9.38</t>
  </si>
  <si>
    <t>TITAN BIOT</t>
  </si>
  <si>
    <t>Q3=10.32</t>
  </si>
  <si>
    <t>SCHNEIDER</t>
  </si>
  <si>
    <t>ALEMBICLTD</t>
  </si>
  <si>
    <t>N9=9.75</t>
  </si>
  <si>
    <t>JYOTI LTD</t>
  </si>
  <si>
    <t>N9=6.5</t>
  </si>
  <si>
    <t>UNIMECH</t>
  </si>
  <si>
    <t>MIDHANI</t>
  </si>
  <si>
    <t>CL SETIA</t>
  </si>
  <si>
    <t>N9=15.4</t>
  </si>
  <si>
    <t>HINDALCO</t>
  </si>
  <si>
    <t>Q3=9.23</t>
  </si>
  <si>
    <t>INDIANHUME</t>
  </si>
  <si>
    <t>Q3=11.67</t>
  </si>
  <si>
    <t>N9=22.42</t>
  </si>
  <si>
    <t>INGERRAND</t>
  </si>
  <si>
    <t>Q3=22.77</t>
  </si>
  <si>
    <t>N9=60.57</t>
  </si>
  <si>
    <t>ENGINERSIN</t>
  </si>
  <si>
    <t>N9=8.83</t>
  </si>
  <si>
    <t>TFS</t>
  </si>
  <si>
    <t>N9=24.3</t>
  </si>
  <si>
    <t>HITECH GEAR</t>
  </si>
  <si>
    <t>PLATIND</t>
  </si>
  <si>
    <t>N9=6.71</t>
  </si>
  <si>
    <t>SHAILY</t>
  </si>
  <si>
    <t>MANYAVAR</t>
  </si>
  <si>
    <t>N9=10.75</t>
  </si>
  <si>
    <t>HINDUSTAN HARDY</t>
  </si>
  <si>
    <t>Q3=10.56</t>
  </si>
  <si>
    <t>N9=43.39</t>
  </si>
  <si>
    <t>IRCTC</t>
  </si>
  <si>
    <t>AMBALAL</t>
  </si>
  <si>
    <t>N9=1.4</t>
  </si>
  <si>
    <t>FY=2.</t>
  </si>
  <si>
    <t>DIVGI</t>
  </si>
  <si>
    <t>N9=10.28</t>
  </si>
  <si>
    <t>CRAVATEX</t>
  </si>
  <si>
    <t>Q3=5.21</t>
  </si>
  <si>
    <t>N9=20.1</t>
  </si>
  <si>
    <t>DENTA</t>
  </si>
  <si>
    <t>UNIABEX</t>
  </si>
  <si>
    <t>N9=112.5</t>
  </si>
  <si>
    <t>FY=180</t>
  </si>
  <si>
    <t>EKC</t>
  </si>
  <si>
    <t>COALINDIA</t>
  </si>
  <si>
    <t>Q3=11.61</t>
  </si>
  <si>
    <t>OAL</t>
  </si>
  <si>
    <t>PARMESHWARI</t>
  </si>
  <si>
    <t>Q3=8.9</t>
  </si>
  <si>
    <t>N9=21.5</t>
  </si>
  <si>
    <t>SCPL</t>
  </si>
  <si>
    <t>N9=10.43</t>
  </si>
  <si>
    <t>IGL</t>
  </si>
  <si>
    <t>SIMPLEX INFRA</t>
  </si>
  <si>
    <t>N9=2.76</t>
  </si>
  <si>
    <t>UFLEX</t>
  </si>
  <si>
    <t>BALUFORG</t>
  </si>
  <si>
    <t>FAZE3Q</t>
  </si>
  <si>
    <t>CHEMCON</t>
  </si>
  <si>
    <t>ENDURANCE</t>
  </si>
  <si>
    <t>SAVERA</t>
  </si>
  <si>
    <t>DEEPAKNTR</t>
  </si>
  <si>
    <t>ENTERO</t>
  </si>
  <si>
    <t>Q3=6.36</t>
  </si>
  <si>
    <t>INOXINDIA</t>
  </si>
  <si>
    <t>Q3=6.69</t>
  </si>
  <si>
    <t>ARMAN FIN</t>
  </si>
  <si>
    <t>Q3=21</t>
  </si>
  <si>
    <t>N9=14.85</t>
  </si>
  <si>
    <t>SUNDROP</t>
  </si>
  <si>
    <t>Q3=2.13</t>
  </si>
  <si>
    <t>AJAXENGG</t>
  </si>
  <si>
    <t>N9=11.38</t>
  </si>
  <si>
    <t>MAHRUB</t>
  </si>
  <si>
    <t>Q3=5.69</t>
  </si>
  <si>
    <t>BIOCON</t>
  </si>
  <si>
    <t>PIIND</t>
  </si>
  <si>
    <t>Q3=20.52</t>
  </si>
  <si>
    <t>N9=73.87</t>
  </si>
  <si>
    <t>SINGER</t>
  </si>
  <si>
    <t>UTTAMSUGAR</t>
  </si>
  <si>
    <t>N9=11.94</t>
  </si>
  <si>
    <t>NIS</t>
  </si>
  <si>
    <t>DELTON</t>
  </si>
  <si>
    <t>VIP CLOTHING</t>
  </si>
  <si>
    <t>N9=0.6</t>
  </si>
  <si>
    <t>FY=.80</t>
  </si>
  <si>
    <t>GENESYS</t>
  </si>
  <si>
    <t>RGL</t>
  </si>
  <si>
    <t>RUPA</t>
  </si>
  <si>
    <t>FRONTSPRING</t>
  </si>
  <si>
    <t>Q3=39.47</t>
  </si>
  <si>
    <t>N9=119</t>
  </si>
  <si>
    <t>FY=160</t>
  </si>
  <si>
    <t>CMS INFO</t>
  </si>
  <si>
    <t>Q3=3.49</t>
  </si>
  <si>
    <t>AMBIKCA</t>
  </si>
  <si>
    <t>N9=1.86</t>
  </si>
  <si>
    <t>AUTORIDERS</t>
  </si>
  <si>
    <t>N9=18.75</t>
  </si>
  <si>
    <t>ONGC</t>
  </si>
  <si>
    <t>FY=32.5</t>
  </si>
  <si>
    <t>LUPIN</t>
  </si>
  <si>
    <t>EIDPARRY</t>
  </si>
  <si>
    <t>VMS TMT</t>
  </si>
  <si>
    <t>HGINFRA</t>
  </si>
  <si>
    <t>Q3=14.44</t>
  </si>
  <si>
    <t>N9=37.62</t>
  </si>
  <si>
    <t>TRITON</t>
  </si>
  <si>
    <t>Q3=20.63</t>
  </si>
  <si>
    <t>N9=49.82</t>
  </si>
  <si>
    <t>CP PLUS</t>
  </si>
  <si>
    <t>Q3=8.18</t>
  </si>
  <si>
    <t>N9=17.5</t>
  </si>
  <si>
    <t>ELEGANT</t>
  </si>
  <si>
    <t>CP CAPITAL</t>
  </si>
  <si>
    <t>AEIM</t>
  </si>
  <si>
    <t>Q3=5.41</t>
  </si>
  <si>
    <t>N9=9.28</t>
  </si>
  <si>
    <t>INDAG</t>
  </si>
  <si>
    <t>N9=2.86</t>
  </si>
  <si>
    <t>SENCO</t>
  </si>
  <si>
    <t>N9=25.5</t>
  </si>
  <si>
    <t>SPML INFRA</t>
  </si>
  <si>
    <t>Q3=2.75</t>
  </si>
  <si>
    <t>TIME TECHNO</t>
  </si>
  <si>
    <t>STANLEY</t>
  </si>
  <si>
    <t>N9=2.26</t>
  </si>
  <si>
    <t>HAL</t>
  </si>
  <si>
    <t>N9=73.56</t>
  </si>
  <si>
    <t>FY=137</t>
  </si>
  <si>
    <t>BHARATFORG</t>
  </si>
  <si>
    <t>N9=17.72</t>
  </si>
  <si>
    <t>RCF</t>
  </si>
  <si>
    <t>N9=4.36</t>
  </si>
  <si>
    <t>JAGRAN</t>
  </si>
  <si>
    <t>N9=8.27</t>
  </si>
  <si>
    <t>RANE HOLDING</t>
  </si>
  <si>
    <t>PATEL ENG</t>
  </si>
  <si>
    <t>KHAZANCHI</t>
  </si>
  <si>
    <t>Q3=10.12</t>
  </si>
  <si>
    <t>N9=25.76</t>
  </si>
  <si>
    <t>DENIS CHEM</t>
  </si>
  <si>
    <t>Q3=2.39</t>
  </si>
  <si>
    <t>POLSON</t>
  </si>
  <si>
    <t>Q3=101</t>
  </si>
  <si>
    <t>N9=305</t>
  </si>
  <si>
    <t>FY=430</t>
  </si>
  <si>
    <t>CHEVIOT</t>
  </si>
  <si>
    <t>Q3=29.43</t>
  </si>
  <si>
    <t>N9=104</t>
  </si>
  <si>
    <t>DOLPHIN RUB</t>
  </si>
  <si>
    <t>MURUDCERA</t>
  </si>
  <si>
    <t>Q3-0.68</t>
  </si>
  <si>
    <t>FY=2.6</t>
  </si>
  <si>
    <t>CYBELE</t>
  </si>
  <si>
    <t>ANUPAM</t>
  </si>
  <si>
    <t>Q3=4.31</t>
  </si>
  <si>
    <t>JINDALPOLY</t>
  </si>
  <si>
    <t>Q3-LOSSS</t>
  </si>
  <si>
    <t>VIKRAN</t>
  </si>
  <si>
    <t>N9=1.65</t>
  </si>
  <si>
    <t>FY=3.67</t>
  </si>
  <si>
    <t>DIACABLES</t>
  </si>
  <si>
    <t>Q3=0.94</t>
  </si>
  <si>
    <t>FY=2.85</t>
  </si>
  <si>
    <t>VIJAY SOLEX</t>
  </si>
  <si>
    <t>Q3=16.78</t>
  </si>
  <si>
    <t>BANG</t>
  </si>
  <si>
    <t>Q3=0.18</t>
  </si>
  <si>
    <t>N9=2.53</t>
  </si>
  <si>
    <t>SHRI GANG</t>
  </si>
  <si>
    <t>Q3=7.49</t>
  </si>
  <si>
    <t>N9=9.14</t>
  </si>
  <si>
    <t>Q3=3.15</t>
  </si>
  <si>
    <t>SURYAMBA SPIN</t>
  </si>
  <si>
    <t>JAY USHIN</t>
  </si>
  <si>
    <t>Q3=11.13</t>
  </si>
  <si>
    <t>GP PETRO</t>
  </si>
  <si>
    <t>Q3=1.03</t>
  </si>
  <si>
    <t>DCM SHRIRAM</t>
  </si>
  <si>
    <t>PRECWIRE</t>
  </si>
  <si>
    <t>Q3=2.06</t>
  </si>
  <si>
    <t>SRHHPOSLTD</t>
  </si>
  <si>
    <t>N9=41.42</t>
  </si>
  <si>
    <t>KSE</t>
  </si>
  <si>
    <t>MODI NATURAL</t>
  </si>
  <si>
    <t>Q3=7.56</t>
  </si>
  <si>
    <t>KESAR INDIA</t>
  </si>
  <si>
    <t>RB DENIM</t>
  </si>
  <si>
    <t>N9=2.65</t>
  </si>
  <si>
    <t xml:space="preserve">AVG </t>
  </si>
  <si>
    <t>Q3=3.56</t>
  </si>
  <si>
    <t>N9=10.17</t>
  </si>
  <si>
    <t>HIND ADH</t>
  </si>
  <si>
    <t>Q3=10.88</t>
  </si>
  <si>
    <t>EFC</t>
  </si>
  <si>
    <t>Q3=4,6</t>
  </si>
  <si>
    <t>ROHLTD</t>
  </si>
  <si>
    <t>N9=8.84</t>
  </si>
  <si>
    <t>DYNACONS</t>
  </si>
  <si>
    <t>N9=51.73</t>
  </si>
  <si>
    <t>AHLUCONT</t>
  </si>
  <si>
    <t>N9=27.44</t>
  </si>
  <si>
    <t>EMMBI</t>
  </si>
  <si>
    <t>N9=2.84</t>
  </si>
  <si>
    <t>BEEKAY</t>
  </si>
  <si>
    <t>Q3=7.26</t>
  </si>
  <si>
    <t>N9=29.7</t>
  </si>
  <si>
    <t>UNITED DRILL</t>
  </si>
  <si>
    <t>LA OPALA</t>
  </si>
  <si>
    <t>N9=6.86</t>
  </si>
  <si>
    <t>ARIHANT FOUNDATIONS</t>
  </si>
  <si>
    <t>CONFIPET</t>
  </si>
  <si>
    <t>Q3=0.63</t>
  </si>
  <si>
    <t>FY=2.62</t>
  </si>
  <si>
    <t>LUXIND</t>
  </si>
  <si>
    <t>RACEECO</t>
  </si>
  <si>
    <t>PRINCE PIPES</t>
  </si>
  <si>
    <t>N9=12.45</t>
  </si>
  <si>
    <t>CELLO</t>
  </si>
  <si>
    <t>THACKERS</t>
  </si>
  <si>
    <t>Q3=5.61</t>
  </si>
  <si>
    <t>N9=7.98</t>
  </si>
  <si>
    <t>B&amp;B TRIPLEWALL</t>
  </si>
  <si>
    <t>Q3=9.64</t>
  </si>
  <si>
    <t>KRBL</t>
  </si>
  <si>
    <t>N9=21.52</t>
  </si>
  <si>
    <t>PREVEST</t>
  </si>
  <si>
    <t>PRAKASH IND</t>
  </si>
  <si>
    <t>Q3=4.85</t>
  </si>
  <si>
    <t>N9=13.39</t>
  </si>
  <si>
    <t>AGARIND</t>
  </si>
  <si>
    <t>N9=18.6</t>
  </si>
  <si>
    <t>NAHAR INDUS</t>
  </si>
  <si>
    <t>N9=6.1</t>
  </si>
  <si>
    <t>SIGNET</t>
  </si>
  <si>
    <t>THOMAS SCOTT</t>
  </si>
  <si>
    <t>N9=9.13</t>
  </si>
  <si>
    <t>SOMA TEX</t>
  </si>
  <si>
    <t>PATEL AIRTEMP</t>
  </si>
  <si>
    <t>FLUIDOMAT</t>
  </si>
  <si>
    <t>GARG FURNANCE</t>
  </si>
  <si>
    <t>N9=12.53</t>
  </si>
  <si>
    <t>GUJ APOLLO</t>
  </si>
  <si>
    <t>WIMPLAST</t>
  </si>
  <si>
    <t>Q3=10.6</t>
  </si>
  <si>
    <t>MAGNUS</t>
  </si>
  <si>
    <t>NTC IND</t>
  </si>
  <si>
    <t>N9=9.54</t>
  </si>
  <si>
    <t>COVANCE</t>
  </si>
  <si>
    <t>Q3=5.7</t>
  </si>
  <si>
    <t>MARKOLINES</t>
  </si>
  <si>
    <t>GTV ENGG</t>
  </si>
  <si>
    <t>N9=2.37</t>
  </si>
  <si>
    <t>GARNET</t>
  </si>
  <si>
    <t>KRONOX</t>
  </si>
  <si>
    <t>Q3=1.79</t>
  </si>
  <si>
    <t>N9=5.33</t>
  </si>
  <si>
    <t>PTC INDIA</t>
  </si>
  <si>
    <t>PTCIL</t>
  </si>
  <si>
    <t>JAMNA AUTO</t>
  </si>
  <si>
    <t>N9=3.6</t>
  </si>
  <si>
    <t>IPCALAB</t>
  </si>
  <si>
    <t>N9=33.63</t>
  </si>
  <si>
    <t>BLUEJET</t>
  </si>
  <si>
    <t>N9=10.58</t>
  </si>
  <si>
    <t>VIPUL</t>
  </si>
  <si>
    <t>Q3=1.1</t>
  </si>
  <si>
    <t>ERIS</t>
  </si>
  <si>
    <t>N9=24.81</t>
  </si>
  <si>
    <t>KIRLOSIND</t>
  </si>
  <si>
    <t>NEELAMALAI</t>
  </si>
  <si>
    <t>Q3=151</t>
  </si>
  <si>
    <t>N9=362</t>
  </si>
  <si>
    <t>FY=500</t>
  </si>
  <si>
    <t>NAUKRI</t>
  </si>
  <si>
    <t>N9=13.66</t>
  </si>
  <si>
    <t>KICL</t>
  </si>
  <si>
    <t>BHASKAR</t>
  </si>
  <si>
    <t>RATEGAIN</t>
  </si>
  <si>
    <t>N9=10.54</t>
  </si>
  <si>
    <t>DHP</t>
  </si>
  <si>
    <t>Q3=3.71N</t>
  </si>
  <si>
    <t>N9=11.15</t>
  </si>
  <si>
    <t>DYNPRO</t>
  </si>
  <si>
    <t>NALWA SONS</t>
  </si>
  <si>
    <t>Q3=14.66</t>
  </si>
  <si>
    <t>N9=99.65</t>
  </si>
  <si>
    <t>COASTALCORP</t>
  </si>
  <si>
    <t>N9=2.47</t>
  </si>
  <si>
    <t>BHARATRAS</t>
  </si>
  <si>
    <t>N9=65.</t>
  </si>
  <si>
    <t>POLYSPIN</t>
  </si>
  <si>
    <t>HONDAPOWER</t>
  </si>
  <si>
    <t>Q3=16.43</t>
  </si>
  <si>
    <t>N9=36.79</t>
  </si>
  <si>
    <t>SMRUTHI</t>
  </si>
  <si>
    <t>N9=2.06</t>
  </si>
  <si>
    <t>VIJAYA</t>
  </si>
  <si>
    <t>HOEC</t>
  </si>
  <si>
    <t>N9=4.16</t>
  </si>
  <si>
    <t>GOODLUCK</t>
  </si>
  <si>
    <t>Q3=12.83</t>
  </si>
  <si>
    <t>N9=37.87</t>
  </si>
  <si>
    <t>GANESH BE</t>
  </si>
  <si>
    <t>BFINVEST</t>
  </si>
  <si>
    <t>Q3=23.73</t>
  </si>
  <si>
    <t>N9=44.54</t>
  </si>
  <si>
    <t>BASF</t>
  </si>
  <si>
    <t>Q3=24.4</t>
  </si>
  <si>
    <t>N9=81.6</t>
  </si>
  <si>
    <t>ENRIN</t>
  </si>
  <si>
    <t>Q3=8.79</t>
  </si>
  <si>
    <t>ALKEM</t>
  </si>
  <si>
    <t>CORDSCABLE</t>
  </si>
  <si>
    <t>N9=9.49</t>
  </si>
  <si>
    <t>HALDYN</t>
  </si>
  <si>
    <t>N9=3,25</t>
  </si>
  <si>
    <t>ICIL</t>
  </si>
  <si>
    <t>N9=5.17</t>
  </si>
  <si>
    <t>BOMBAY RAYON</t>
  </si>
  <si>
    <t>LACTOSE</t>
  </si>
  <si>
    <t>N9=3.33</t>
  </si>
  <si>
    <t>KAMDHENU</t>
  </si>
  <si>
    <t>N9=2.17</t>
  </si>
  <si>
    <t>YUKEN</t>
  </si>
  <si>
    <t>VICTORIA</t>
  </si>
  <si>
    <t>Q3=267</t>
  </si>
  <si>
    <t>N9=710</t>
  </si>
  <si>
    <t>JASH</t>
  </si>
  <si>
    <t>MAHASTEEL</t>
  </si>
  <si>
    <t>VISTAR</t>
  </si>
  <si>
    <t>Q3=11.23</t>
  </si>
  <si>
    <t>N9=12.33</t>
  </si>
  <si>
    <t>PRUDENTIAL</t>
  </si>
  <si>
    <t>Q3=0.88</t>
  </si>
  <si>
    <t>N9=1.48</t>
  </si>
  <si>
    <t>FY=1.9</t>
  </si>
  <si>
    <t xml:space="preserve">EPL </t>
  </si>
  <si>
    <t>Q3=2.55</t>
  </si>
  <si>
    <t>N9=8.94</t>
  </si>
  <si>
    <t>ARYAMAN</t>
  </si>
  <si>
    <t>N9=26.44</t>
  </si>
  <si>
    <t>CUBEX TUBING</t>
  </si>
  <si>
    <t>N9=4.25</t>
  </si>
  <si>
    <t>OPTIEMUS</t>
  </si>
  <si>
    <t>N9=4.96</t>
  </si>
  <si>
    <t>AKUMS</t>
  </si>
  <si>
    <t>Q3=4.33</t>
  </si>
  <si>
    <t>INOXWIND</t>
  </si>
  <si>
    <t>CSL FINANCE</t>
  </si>
  <si>
    <t>Q3=9.18</t>
  </si>
  <si>
    <t>CORAL LAB</t>
  </si>
  <si>
    <t>Q3=7.77</t>
  </si>
  <si>
    <t>N9=31.23</t>
  </si>
  <si>
    <t>SUNFLAG</t>
  </si>
  <si>
    <t>N9=9.33</t>
  </si>
  <si>
    <t>INOXGREEN</t>
  </si>
  <si>
    <t>LIKHITA</t>
  </si>
  <si>
    <t>N9=8.77</t>
  </si>
  <si>
    <t>PODDARPIGMENT</t>
  </si>
  <si>
    <t>N9=9.44</t>
  </si>
  <si>
    <t>PG FOILS</t>
  </si>
  <si>
    <t>N9=1.26</t>
  </si>
  <si>
    <t>VSL FINANCE</t>
  </si>
  <si>
    <t>Q3=4.35</t>
  </si>
  <si>
    <t>FY=23.76</t>
  </si>
  <si>
    <t>BETEX</t>
  </si>
  <si>
    <t>Q3=26.56</t>
  </si>
  <si>
    <t>IRB</t>
  </si>
  <si>
    <t>Q3=0.35</t>
  </si>
  <si>
    <t>TI</t>
  </si>
  <si>
    <t>AY=16</t>
  </si>
  <si>
    <t>Q3=25.7</t>
  </si>
  <si>
    <t>N9=41.14</t>
  </si>
  <si>
    <t>RHIM</t>
  </si>
  <si>
    <t>N9=6.55</t>
  </si>
  <si>
    <t>TORNTPHARM</t>
  </si>
  <si>
    <t>Q3=18.77</t>
  </si>
  <si>
    <t>N9=52.41</t>
  </si>
  <si>
    <t>LAHOTI</t>
  </si>
  <si>
    <t>MMFL</t>
  </si>
  <si>
    <t>CRISIL</t>
  </si>
  <si>
    <t>N9=104.75</t>
  </si>
  <si>
    <t>ALICON</t>
  </si>
  <si>
    <t>N9=16.2</t>
  </si>
  <si>
    <t>SHIVALIK</t>
  </si>
  <si>
    <t>Q3=1.71</t>
  </si>
  <si>
    <t>N9=4.83</t>
  </si>
  <si>
    <t>HUBTOWN</t>
  </si>
  <si>
    <t>BBTC</t>
  </si>
  <si>
    <t>Q3=45.34</t>
  </si>
  <si>
    <t>N9=114.47</t>
  </si>
  <si>
    <t>FY=161</t>
  </si>
  <si>
    <t>SANJIVANI</t>
  </si>
  <si>
    <t>VALIANT ORG</t>
  </si>
  <si>
    <t>Q3-1.3</t>
  </si>
  <si>
    <t>PIX TRANS</t>
  </si>
  <si>
    <t>Q3=25.88</t>
  </si>
  <si>
    <t>N9=63.61</t>
  </si>
  <si>
    <t>PROSTRAM</t>
  </si>
  <si>
    <t>N9=4.51</t>
  </si>
  <si>
    <t>RBZ</t>
  </si>
  <si>
    <t>SOTL</t>
  </si>
  <si>
    <t>N9=19.62</t>
  </si>
  <si>
    <t>EMS LTD</t>
  </si>
  <si>
    <t>VETO</t>
  </si>
  <si>
    <t>TANEJA</t>
  </si>
  <si>
    <t>N9=4.59</t>
  </si>
  <si>
    <t>DIANA</t>
  </si>
  <si>
    <t>N9=7.62</t>
  </si>
  <si>
    <t>BRAD &amp; MORR</t>
  </si>
  <si>
    <t>N9=18.68</t>
  </si>
  <si>
    <t>FIRSTCRY</t>
  </si>
  <si>
    <t>NH</t>
  </si>
  <si>
    <t>Q3=6.3</t>
  </si>
  <si>
    <t>N9=28.66</t>
  </si>
  <si>
    <t>POEL</t>
  </si>
  <si>
    <t>ARIES AGRO</t>
  </si>
  <si>
    <t>Q3=13.26</t>
  </si>
  <si>
    <t>N9=36.36</t>
  </si>
  <si>
    <t>INTL CONV</t>
  </si>
  <si>
    <t>Q3=4.68</t>
  </si>
  <si>
    <t>GMDC</t>
  </si>
  <si>
    <t>FY=28.5</t>
  </si>
  <si>
    <t>TREJHARA</t>
  </si>
  <si>
    <t>N9=2.32</t>
  </si>
  <si>
    <t>RACL GEAR</t>
  </si>
  <si>
    <t>N9=31.84</t>
  </si>
  <si>
    <t>NY=61</t>
  </si>
  <si>
    <t>NFL</t>
  </si>
  <si>
    <t>NIDHI GRANITE</t>
  </si>
  <si>
    <t>INDIGO PAINT</t>
  </si>
  <si>
    <t>Q3=7.63</t>
  </si>
  <si>
    <t>N9=18.34</t>
  </si>
  <si>
    <t>QUEST LAB</t>
  </si>
  <si>
    <t>N9=7.41</t>
  </si>
  <si>
    <t>BASICFLY</t>
  </si>
  <si>
    <t>N9=15.54</t>
  </si>
  <si>
    <t>APOLSINHOT</t>
  </si>
  <si>
    <t>MMP IND</t>
  </si>
  <si>
    <t>N9=5.12</t>
  </si>
  <si>
    <t>SOLEX</t>
  </si>
  <si>
    <t>N9=25.9</t>
  </si>
  <si>
    <t>JMA</t>
  </si>
  <si>
    <t>N9=8.82</t>
  </si>
  <si>
    <t>TOLINS</t>
  </si>
  <si>
    <t>RUBYMILS</t>
  </si>
  <si>
    <t>GRAUER</t>
  </si>
  <si>
    <t>Q3=0.71N</t>
  </si>
  <si>
    <t>TITAGARH</t>
  </si>
  <si>
    <t>Q3=3.58</t>
  </si>
  <si>
    <t>EXATO</t>
  </si>
  <si>
    <t>Q3=5.46</t>
  </si>
  <si>
    <t>GK ENERGY</t>
  </si>
  <si>
    <t>N9=7.96</t>
  </si>
  <si>
    <t>SWELECTES</t>
  </si>
  <si>
    <t>N9=29.67</t>
  </si>
  <si>
    <t xml:space="preserve">TCC </t>
  </si>
  <si>
    <t>Q3=2.93</t>
  </si>
  <si>
    <t>GUFIC BIP</t>
  </si>
  <si>
    <t>N9=4.22</t>
  </si>
  <si>
    <t>TENNIND</t>
  </si>
  <si>
    <t>N9=10.8</t>
  </si>
  <si>
    <t>TASTYBITE</t>
  </si>
  <si>
    <t>N9=114</t>
  </si>
  <si>
    <t>ESPIRE</t>
  </si>
  <si>
    <t>AZAD</t>
  </si>
  <si>
    <t>Q3=5.34</t>
  </si>
  <si>
    <t>BCC FUBA</t>
  </si>
  <si>
    <t>GALAXY SURF</t>
  </si>
  <si>
    <t>Q3=16.63</t>
  </si>
  <si>
    <t>FCL</t>
  </si>
  <si>
    <t>N9=0.7</t>
  </si>
  <si>
    <t>KINGS INFRA</t>
  </si>
  <si>
    <t>GMR AIRPOT</t>
  </si>
  <si>
    <t>POLYPLEX</t>
  </si>
  <si>
    <t>Q3=4.7</t>
  </si>
  <si>
    <t>N9=6.42</t>
  </si>
  <si>
    <t>N9-26.27</t>
  </si>
  <si>
    <t>ONEGLOBALSERVICE</t>
  </si>
  <si>
    <t>JUNGLE CAMPS</t>
  </si>
  <si>
    <t>N9=1.1</t>
  </si>
  <si>
    <t>JAYKAY</t>
  </si>
  <si>
    <t>RESPONSIVE</t>
  </si>
  <si>
    <t>MAPMY INDIA</t>
  </si>
  <si>
    <t>RAVINDER</t>
  </si>
  <si>
    <t>N9=8.45</t>
  </si>
  <si>
    <t>FORTIS</t>
  </si>
  <si>
    <t>CIAN AGRO</t>
  </si>
  <si>
    <t>Q3=32</t>
  </si>
  <si>
    <t>KESAR PETRO</t>
  </si>
  <si>
    <t>N9=1.52</t>
  </si>
  <si>
    <t>JINDALPOLY INVST</t>
  </si>
  <si>
    <t>Q3=668</t>
  </si>
  <si>
    <t>N9=782</t>
  </si>
  <si>
    <t>FY=800</t>
  </si>
  <si>
    <t>BIMETAL BEARING</t>
  </si>
  <si>
    <t>AMINES</t>
  </si>
  <si>
    <t>N9=3.85</t>
  </si>
  <si>
    <t>SANSTAR</t>
  </si>
  <si>
    <t>INDNIPPON</t>
  </si>
  <si>
    <t>N9=31.5</t>
  </si>
  <si>
    <t>DEEPAK BUILDERS</t>
  </si>
  <si>
    <t>N9=5.4</t>
  </si>
  <si>
    <t xml:space="preserve">SRM </t>
  </si>
  <si>
    <t>Q3=10.5</t>
  </si>
  <si>
    <t>WHBRADY</t>
  </si>
  <si>
    <t>Q3=11.45</t>
  </si>
  <si>
    <t>CHEA[</t>
  </si>
  <si>
    <t>SHAKTIPUMP</t>
  </si>
  <si>
    <t>N9=17.93</t>
  </si>
  <si>
    <t>BENGAL &amp; ASSAM</t>
  </si>
  <si>
    <t>Q3=135</t>
  </si>
  <si>
    <t>N9=545</t>
  </si>
  <si>
    <t>FY=650</t>
  </si>
  <si>
    <t>KFINTECH</t>
  </si>
  <si>
    <t>N9=15.24</t>
  </si>
  <si>
    <t>RKSWAMY</t>
  </si>
  <si>
    <t>MARATHON</t>
  </si>
  <si>
    <t>N9=25.92</t>
  </si>
  <si>
    <t>JAICORP</t>
  </si>
  <si>
    <t>NIKHIL</t>
  </si>
  <si>
    <t>INNOVANA</t>
  </si>
  <si>
    <t>N9=16.92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</si>
</sst>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microsoft.com/office/2017/10/relationships/person" Target="persons/perso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B72A-9FB0-410C-A669-19581D043104}">
  <dimension ref="A1:G89"/>
  <sheetViews>
    <sheetView topLeftCell="A62" workbookViewId="0">
      <selection activeCell="A91" sqref="A91"/>
    </sheetView>
  </sheetViews>
  <sheetFormatPr defaultRowHeight="14.5" x14ac:dyDescent="0.35"/>
  <sheetData>
    <row r="1" spans="1:7" x14ac:dyDescent="0.35">
      <c r="A1" t="s">
        <v>83</v>
      </c>
      <c r="B1" t="s">
        <v>84</v>
      </c>
      <c r="C1" t="s">
        <v>85</v>
      </c>
      <c r="D1" t="s">
        <v>86</v>
      </c>
      <c r="E1" t="s">
        <v>4</v>
      </c>
      <c r="F1">
        <f>500/22</f>
        <v>22.727272727272727</v>
      </c>
      <c r="G1" t="s">
        <v>5</v>
      </c>
    </row>
    <row r="3" spans="1:7" x14ac:dyDescent="0.35">
      <c r="A3" t="s">
        <v>175</v>
      </c>
      <c r="B3" t="s">
        <v>176</v>
      </c>
      <c r="C3" t="s">
        <v>177</v>
      </c>
      <c r="D3" t="s">
        <v>178</v>
      </c>
      <c r="E3" t="s">
        <v>4</v>
      </c>
      <c r="F3">
        <f>185/15</f>
        <v>12.333333333333334</v>
      </c>
      <c r="G3" t="s">
        <v>10</v>
      </c>
    </row>
    <row r="5" spans="1:7" x14ac:dyDescent="0.35">
      <c r="A5" t="s">
        <v>547</v>
      </c>
      <c r="B5" t="s">
        <v>548</v>
      </c>
      <c r="C5" t="s">
        <v>549</v>
      </c>
      <c r="D5" t="s">
        <v>19</v>
      </c>
      <c r="E5" t="s">
        <v>4</v>
      </c>
      <c r="F5">
        <f>230/9</f>
        <v>25.555555555555557</v>
      </c>
      <c r="G5" t="s">
        <v>5</v>
      </c>
    </row>
    <row r="7" spans="1:7" x14ac:dyDescent="0.35">
      <c r="A7" t="s">
        <v>1080</v>
      </c>
      <c r="B7" t="s">
        <v>1081</v>
      </c>
      <c r="C7" t="s">
        <v>1082</v>
      </c>
      <c r="D7" t="s">
        <v>596</v>
      </c>
      <c r="E7" t="s">
        <v>4</v>
      </c>
      <c r="F7">
        <f>1103/55</f>
        <v>20.054545454545455</v>
      </c>
      <c r="G7" t="s">
        <v>10</v>
      </c>
    </row>
    <row r="9" spans="1:7" x14ac:dyDescent="0.35">
      <c r="A9" t="s">
        <v>1323</v>
      </c>
      <c r="B9" t="s">
        <v>1324</v>
      </c>
      <c r="C9" t="s">
        <v>1325</v>
      </c>
      <c r="D9" t="s">
        <v>1326</v>
      </c>
      <c r="E9" t="s">
        <v>4</v>
      </c>
      <c r="F9">
        <f>2300/81.56</f>
        <v>28.200098087297693</v>
      </c>
      <c r="G9" t="s">
        <v>5</v>
      </c>
    </row>
    <row r="11" spans="1:7" x14ac:dyDescent="0.35">
      <c r="A11" t="s">
        <v>1333</v>
      </c>
      <c r="B11" t="s">
        <v>1334</v>
      </c>
      <c r="C11" t="s">
        <v>622</v>
      </c>
      <c r="D11" t="s">
        <v>63</v>
      </c>
      <c r="E11" t="s">
        <v>4</v>
      </c>
      <c r="F11">
        <f>987/60</f>
        <v>16.45</v>
      </c>
      <c r="G11" t="s">
        <v>10</v>
      </c>
    </row>
    <row r="13" spans="1:7" x14ac:dyDescent="0.35">
      <c r="A13" t="s">
        <v>1412</v>
      </c>
      <c r="B13" t="s">
        <v>29</v>
      </c>
      <c r="C13" t="s">
        <v>1413</v>
      </c>
      <c r="D13" t="s">
        <v>31</v>
      </c>
    </row>
    <row r="15" spans="1:7" x14ac:dyDescent="0.35">
      <c r="A15" t="s">
        <v>1433</v>
      </c>
      <c r="B15" t="s">
        <v>1434</v>
      </c>
      <c r="C15" t="s">
        <v>1435</v>
      </c>
      <c r="D15" t="s">
        <v>1304</v>
      </c>
      <c r="E15" t="s">
        <v>4</v>
      </c>
      <c r="F15">
        <f>1100/69</f>
        <v>15.942028985507246</v>
      </c>
      <c r="G15" t="s">
        <v>10</v>
      </c>
    </row>
    <row r="17" spans="1:7" x14ac:dyDescent="0.35">
      <c r="A17" t="s">
        <v>1560</v>
      </c>
      <c r="B17" t="s">
        <v>1116</v>
      </c>
      <c r="C17" t="s">
        <v>195</v>
      </c>
      <c r="D17" t="s">
        <v>1457</v>
      </c>
      <c r="E17" t="s">
        <v>4</v>
      </c>
      <c r="F17">
        <f>140/13.5</f>
        <v>10.37037037037037</v>
      </c>
      <c r="G17" t="s">
        <v>10</v>
      </c>
    </row>
    <row r="19" spans="1:7" x14ac:dyDescent="0.35">
      <c r="A19" t="s">
        <v>1638</v>
      </c>
      <c r="B19" t="s">
        <v>45</v>
      </c>
      <c r="C19" t="s">
        <v>1639</v>
      </c>
      <c r="D19" t="s">
        <v>536</v>
      </c>
      <c r="E19" t="s">
        <v>4</v>
      </c>
      <c r="F19">
        <f>600/50</f>
        <v>12</v>
      </c>
      <c r="G19" t="s">
        <v>10</v>
      </c>
    </row>
    <row r="21" spans="1:7" x14ac:dyDescent="0.35">
      <c r="A21" s="1" t="s">
        <v>1788</v>
      </c>
      <c r="B21" s="1" t="s">
        <v>1789</v>
      </c>
      <c r="C21" s="1" t="s">
        <v>1790</v>
      </c>
      <c r="D21" s="1" t="s">
        <v>352</v>
      </c>
      <c r="E21" s="1" t="s">
        <v>4</v>
      </c>
      <c r="F21" s="1">
        <f>111/18</f>
        <v>6.166666666666667</v>
      </c>
      <c r="G21" s="1" t="s">
        <v>10</v>
      </c>
    </row>
    <row r="23" spans="1:7" x14ac:dyDescent="0.35">
      <c r="A23" t="s">
        <v>1835</v>
      </c>
      <c r="B23" t="s">
        <v>1836</v>
      </c>
      <c r="C23" t="s">
        <v>1837</v>
      </c>
      <c r="D23" t="s">
        <v>467</v>
      </c>
      <c r="E23" t="s">
        <v>4</v>
      </c>
      <c r="F23">
        <f>148/23</f>
        <v>6.4347826086956523</v>
      </c>
      <c r="G23" t="s">
        <v>10</v>
      </c>
    </row>
    <row r="25" spans="1:7" x14ac:dyDescent="0.35">
      <c r="A25" t="s">
        <v>1902</v>
      </c>
      <c r="B25" t="s">
        <v>1903</v>
      </c>
      <c r="C25" t="s">
        <v>1904</v>
      </c>
      <c r="D25" t="s">
        <v>942</v>
      </c>
      <c r="E25" t="s">
        <v>4</v>
      </c>
      <c r="F25">
        <f>700/19</f>
        <v>36.842105263157897</v>
      </c>
      <c r="G25" t="s">
        <v>5</v>
      </c>
    </row>
    <row r="27" spans="1:7" x14ac:dyDescent="0.35">
      <c r="A27" t="s">
        <v>1963</v>
      </c>
      <c r="B27" t="s">
        <v>1964</v>
      </c>
      <c r="C27" t="s">
        <v>1965</v>
      </c>
      <c r="D27" t="s">
        <v>79</v>
      </c>
      <c r="E27" t="s">
        <v>4</v>
      </c>
      <c r="F27">
        <f>132/10</f>
        <v>13.2</v>
      </c>
      <c r="G27" t="s">
        <v>10</v>
      </c>
    </row>
    <row r="29" spans="1:7" x14ac:dyDescent="0.35">
      <c r="A29" t="s">
        <v>2086</v>
      </c>
      <c r="B29" t="s">
        <v>1694</v>
      </c>
      <c r="C29" t="s">
        <v>2087</v>
      </c>
      <c r="D29" t="s">
        <v>1865</v>
      </c>
      <c r="E29" t="s">
        <v>4</v>
      </c>
      <c r="F29">
        <f>215/7.9</f>
        <v>27.215189873417721</v>
      </c>
      <c r="G29" t="s">
        <v>5</v>
      </c>
    </row>
    <row r="31" spans="1:7" x14ac:dyDescent="0.35">
      <c r="A31" t="s">
        <v>2128</v>
      </c>
      <c r="B31" t="s">
        <v>2129</v>
      </c>
      <c r="C31" t="s">
        <v>2130</v>
      </c>
      <c r="D31" t="s">
        <v>63</v>
      </c>
      <c r="E31" t="s">
        <v>4</v>
      </c>
      <c r="F31">
        <f>924/60</f>
        <v>15.4</v>
      </c>
      <c r="G31" t="s">
        <v>10</v>
      </c>
    </row>
    <row r="33" spans="1:7" x14ac:dyDescent="0.35">
      <c r="A33" t="s">
        <v>2263</v>
      </c>
      <c r="B33" t="s">
        <v>659</v>
      </c>
      <c r="C33" t="s">
        <v>2264</v>
      </c>
      <c r="D33" t="s">
        <v>2265</v>
      </c>
      <c r="E33" t="s">
        <v>2266</v>
      </c>
      <c r="F33">
        <f>281/230</f>
        <v>1.2217391304347827</v>
      </c>
      <c r="G33" t="s">
        <v>10</v>
      </c>
    </row>
    <row r="35" spans="1:7" x14ac:dyDescent="0.35">
      <c r="A35" t="s">
        <v>2576</v>
      </c>
      <c r="B35" t="s">
        <v>2577</v>
      </c>
      <c r="C35" t="s">
        <v>2578</v>
      </c>
      <c r="D35" t="s">
        <v>178</v>
      </c>
      <c r="E35" t="s">
        <v>4</v>
      </c>
      <c r="F35">
        <f>176/15</f>
        <v>11.733333333333333</v>
      </c>
      <c r="G35" t="s">
        <v>10</v>
      </c>
    </row>
    <row r="37" spans="1:7" x14ac:dyDescent="0.35">
      <c r="A37" t="s">
        <v>2777</v>
      </c>
      <c r="B37" t="s">
        <v>2778</v>
      </c>
      <c r="C37" t="s">
        <v>1982</v>
      </c>
      <c r="D37" t="s">
        <v>63</v>
      </c>
      <c r="E37" t="s">
        <v>4</v>
      </c>
      <c r="F37">
        <f>1120/60</f>
        <v>18.666666666666668</v>
      </c>
      <c r="G37" t="s">
        <v>10</v>
      </c>
    </row>
    <row r="39" spans="1:7" x14ac:dyDescent="0.35">
      <c r="A39" t="s">
        <v>2832</v>
      </c>
      <c r="B39" t="s">
        <v>2833</v>
      </c>
      <c r="C39" t="s">
        <v>2834</v>
      </c>
      <c r="D39" t="s">
        <v>192</v>
      </c>
      <c r="E39" t="s">
        <v>4</v>
      </c>
      <c r="F39">
        <f>174/11</f>
        <v>15.818181818181818</v>
      </c>
      <c r="G39" t="s">
        <v>10</v>
      </c>
    </row>
    <row r="41" spans="1:7" x14ac:dyDescent="0.35">
      <c r="A41" t="s">
        <v>2971</v>
      </c>
      <c r="B41" t="s">
        <v>469</v>
      </c>
      <c r="C41" t="s">
        <v>2972</v>
      </c>
      <c r="D41" t="s">
        <v>63</v>
      </c>
      <c r="E41" t="s">
        <v>4</v>
      </c>
      <c r="F41">
        <f>870/60</f>
        <v>14.5</v>
      </c>
      <c r="G41" t="s">
        <v>2973</v>
      </c>
    </row>
    <row r="43" spans="1:7" x14ac:dyDescent="0.35">
      <c r="A43" t="s">
        <v>2985</v>
      </c>
      <c r="B43" t="s">
        <v>2986</v>
      </c>
      <c r="C43" t="s">
        <v>520</v>
      </c>
      <c r="D43" t="s">
        <v>2885</v>
      </c>
      <c r="E43" t="s">
        <v>4</v>
      </c>
      <c r="F43">
        <f>2132/99</f>
        <v>21.535353535353536</v>
      </c>
      <c r="G43" t="s">
        <v>10</v>
      </c>
    </row>
    <row r="45" spans="1:7" x14ac:dyDescent="0.35">
      <c r="A45" t="s">
        <v>3028</v>
      </c>
      <c r="B45" t="s">
        <v>1038</v>
      </c>
      <c r="C45" t="s">
        <v>3029</v>
      </c>
      <c r="D45" t="s">
        <v>23</v>
      </c>
      <c r="E45" t="s">
        <v>4</v>
      </c>
      <c r="F45">
        <f>182/21</f>
        <v>8.6666666666666661</v>
      </c>
      <c r="G45" t="s">
        <v>10</v>
      </c>
    </row>
    <row r="47" spans="1:7" x14ac:dyDescent="0.35">
      <c r="A47" t="s">
        <v>3085</v>
      </c>
      <c r="B47" t="s">
        <v>33</v>
      </c>
      <c r="C47" t="s">
        <v>3086</v>
      </c>
      <c r="D47" t="s">
        <v>79</v>
      </c>
      <c r="E47" t="s">
        <v>4</v>
      </c>
      <c r="F47">
        <f>175/10</f>
        <v>17.5</v>
      </c>
      <c r="G47" t="s">
        <v>10</v>
      </c>
    </row>
    <row r="49" spans="1:7" x14ac:dyDescent="0.35">
      <c r="A49" t="s">
        <v>3238</v>
      </c>
      <c r="B49" t="s">
        <v>697</v>
      </c>
      <c r="C49" t="s">
        <v>3239</v>
      </c>
      <c r="D49" t="s">
        <v>23</v>
      </c>
      <c r="E49" t="s">
        <v>4</v>
      </c>
      <c r="F49">
        <f>174/21</f>
        <v>8.2857142857142865</v>
      </c>
      <c r="G49" t="s">
        <v>10</v>
      </c>
    </row>
    <row r="51" spans="1:7" x14ac:dyDescent="0.35">
      <c r="A51" t="s">
        <v>3283</v>
      </c>
      <c r="B51" t="s">
        <v>2757</v>
      </c>
      <c r="C51" t="s">
        <v>22</v>
      </c>
      <c r="D51" t="s">
        <v>178</v>
      </c>
      <c r="E51" t="s">
        <v>4</v>
      </c>
      <c r="F51">
        <f>252/15</f>
        <v>16.8</v>
      </c>
      <c r="G51" t="s">
        <v>10</v>
      </c>
    </row>
    <row r="53" spans="1:7" x14ac:dyDescent="0.35">
      <c r="A53" t="s">
        <v>3287</v>
      </c>
      <c r="B53" t="s">
        <v>3288</v>
      </c>
      <c r="C53" t="s">
        <v>3289</v>
      </c>
      <c r="D53" t="s">
        <v>898</v>
      </c>
      <c r="E53" t="s">
        <v>4</v>
      </c>
      <c r="F53">
        <f>454/51</f>
        <v>8.9019607843137258</v>
      </c>
      <c r="G53" t="s">
        <v>10</v>
      </c>
    </row>
    <row r="55" spans="1:7" x14ac:dyDescent="0.35">
      <c r="A55" t="s">
        <v>3296</v>
      </c>
      <c r="B55" t="s">
        <v>3297</v>
      </c>
      <c r="C55" t="s">
        <v>806</v>
      </c>
      <c r="D55" t="s">
        <v>613</v>
      </c>
      <c r="E55" t="s">
        <v>4</v>
      </c>
      <c r="F55">
        <f>489/40</f>
        <v>12.225</v>
      </c>
      <c r="G55" t="s">
        <v>10</v>
      </c>
    </row>
    <row r="57" spans="1:7" x14ac:dyDescent="0.35">
      <c r="A57" t="s">
        <v>3351</v>
      </c>
      <c r="B57" t="s">
        <v>2122</v>
      </c>
      <c r="C57" t="s">
        <v>3352</v>
      </c>
      <c r="D57" t="s">
        <v>3353</v>
      </c>
      <c r="E57" t="s">
        <v>4</v>
      </c>
      <c r="F57">
        <f>148/9.3</f>
        <v>15.913978494623654</v>
      </c>
      <c r="G57" t="s">
        <v>10</v>
      </c>
    </row>
    <row r="59" spans="1:7" x14ac:dyDescent="0.35">
      <c r="A59" t="s">
        <v>3538</v>
      </c>
      <c r="B59" t="s">
        <v>2964</v>
      </c>
      <c r="C59" t="s">
        <v>2530</v>
      </c>
      <c r="D59" t="s">
        <v>35</v>
      </c>
      <c r="E59" t="s">
        <v>4</v>
      </c>
      <c r="F59" t="s">
        <v>3498</v>
      </c>
    </row>
    <row r="61" spans="1:7" x14ac:dyDescent="0.35">
      <c r="A61" t="s">
        <v>3539</v>
      </c>
      <c r="B61" t="s">
        <v>29</v>
      </c>
    </row>
    <row r="63" spans="1:7" x14ac:dyDescent="0.35">
      <c r="A63" t="s">
        <v>3544</v>
      </c>
      <c r="B63" t="s">
        <v>3545</v>
      </c>
      <c r="C63" t="s">
        <v>1332</v>
      </c>
      <c r="D63" t="s">
        <v>3546</v>
      </c>
      <c r="E63" t="s">
        <v>4</v>
      </c>
      <c r="F63">
        <f>4780/145</f>
        <v>32.96551724137931</v>
      </c>
      <c r="G63" t="s">
        <v>5</v>
      </c>
    </row>
    <row r="65" spans="1:7" x14ac:dyDescent="0.35">
      <c r="A65" t="s">
        <v>3840</v>
      </c>
      <c r="B65" t="s">
        <v>3841</v>
      </c>
      <c r="C65" t="s">
        <v>3842</v>
      </c>
      <c r="D65" t="s">
        <v>130</v>
      </c>
      <c r="E65" t="s">
        <v>4</v>
      </c>
      <c r="F65">
        <f>3100/100</f>
        <v>31</v>
      </c>
      <c r="G65" t="s">
        <v>5</v>
      </c>
    </row>
    <row r="67" spans="1:7" x14ac:dyDescent="0.35">
      <c r="A67" t="s">
        <v>3897</v>
      </c>
      <c r="B67" t="s">
        <v>1521</v>
      </c>
      <c r="C67" t="s">
        <v>3898</v>
      </c>
      <c r="D67" t="s">
        <v>219</v>
      </c>
      <c r="E67" t="s">
        <v>4</v>
      </c>
      <c r="F67">
        <f>134/5.5</f>
        <v>24.363636363636363</v>
      </c>
      <c r="G67" t="s">
        <v>5</v>
      </c>
    </row>
    <row r="69" spans="1:7" x14ac:dyDescent="0.35">
      <c r="A69" t="s">
        <v>3920</v>
      </c>
      <c r="B69" t="s">
        <v>3921</v>
      </c>
      <c r="C69" t="s">
        <v>3102</v>
      </c>
      <c r="D69" t="s">
        <v>1062</v>
      </c>
      <c r="E69" t="s">
        <v>4</v>
      </c>
      <c r="F69">
        <f>1336/16.5</f>
        <v>80.969696969696969</v>
      </c>
      <c r="G69" t="s">
        <v>5</v>
      </c>
    </row>
    <row r="71" spans="1:7" x14ac:dyDescent="0.35">
      <c r="A71" t="s">
        <v>4036</v>
      </c>
      <c r="B71" t="s">
        <v>4037</v>
      </c>
      <c r="C71" t="s">
        <v>4038</v>
      </c>
      <c r="D71" t="s">
        <v>4039</v>
      </c>
      <c r="E71" t="s">
        <v>4</v>
      </c>
      <c r="F71">
        <f>3300/500</f>
        <v>6.6</v>
      </c>
      <c r="G71" t="s">
        <v>10</v>
      </c>
    </row>
    <row r="73" spans="1:7" x14ac:dyDescent="0.35">
      <c r="A73" t="s">
        <v>4043</v>
      </c>
      <c r="B73" t="s">
        <v>278</v>
      </c>
      <c r="C73" t="s">
        <v>528</v>
      </c>
      <c r="D73" t="s">
        <v>134</v>
      </c>
      <c r="E73" t="s">
        <v>4</v>
      </c>
      <c r="F73">
        <f>124/12</f>
        <v>10.333333333333334</v>
      </c>
      <c r="G73" t="s">
        <v>10</v>
      </c>
    </row>
    <row r="75" spans="1:7" x14ac:dyDescent="0.35">
      <c r="A75" t="s">
        <v>4055</v>
      </c>
      <c r="B75" t="s">
        <v>1777</v>
      </c>
      <c r="C75" t="s">
        <v>4056</v>
      </c>
      <c r="D75" t="s">
        <v>573</v>
      </c>
      <c r="E75" t="s">
        <v>4</v>
      </c>
      <c r="F75">
        <f>1700/90</f>
        <v>18.888888888888889</v>
      </c>
      <c r="G75" t="s">
        <v>10</v>
      </c>
    </row>
    <row r="77" spans="1:7" x14ac:dyDescent="0.35">
      <c r="A77" t="s">
        <v>4061</v>
      </c>
      <c r="B77" t="s">
        <v>739</v>
      </c>
      <c r="C77" t="s">
        <v>4062</v>
      </c>
      <c r="D77" t="s">
        <v>89</v>
      </c>
      <c r="E77" t="s">
        <v>4</v>
      </c>
      <c r="F77">
        <f>114/4</f>
        <v>28.5</v>
      </c>
      <c r="G77" t="s">
        <v>5</v>
      </c>
    </row>
    <row r="79" spans="1:7" x14ac:dyDescent="0.35">
      <c r="A79" t="s">
        <v>4073</v>
      </c>
      <c r="B79" t="s">
        <v>4074</v>
      </c>
      <c r="C79" t="s">
        <v>4075</v>
      </c>
      <c r="D79" t="s">
        <v>824</v>
      </c>
      <c r="E79" t="s">
        <v>4</v>
      </c>
      <c r="F79">
        <f>3650/110</f>
        <v>33.18181818181818</v>
      </c>
      <c r="G79" t="s">
        <v>5</v>
      </c>
    </row>
    <row r="81" spans="1:7" x14ac:dyDescent="0.35">
      <c r="A81" t="s">
        <v>4151</v>
      </c>
      <c r="B81" t="s">
        <v>4152</v>
      </c>
      <c r="C81" t="s">
        <v>4153</v>
      </c>
      <c r="D81" t="s">
        <v>387</v>
      </c>
      <c r="E81" t="s">
        <v>4</v>
      </c>
      <c r="F81">
        <f>290/7</f>
        <v>41.428571428571431</v>
      </c>
      <c r="G81" t="s">
        <v>5</v>
      </c>
    </row>
    <row r="83" spans="1:7" x14ac:dyDescent="0.35">
      <c r="A83" t="s">
        <v>4183</v>
      </c>
      <c r="B83" t="s">
        <v>4184</v>
      </c>
      <c r="C83" t="s">
        <v>4185</v>
      </c>
      <c r="D83" t="s">
        <v>536</v>
      </c>
      <c r="E83" t="s">
        <v>4</v>
      </c>
      <c r="F83">
        <f>371/50</f>
        <v>7.42</v>
      </c>
      <c r="G83" t="s">
        <v>10</v>
      </c>
    </row>
    <row r="85" spans="1:7" x14ac:dyDescent="0.35">
      <c r="A85" t="s">
        <v>4195</v>
      </c>
      <c r="B85" t="s">
        <v>469</v>
      </c>
      <c r="C85" t="s">
        <v>2410</v>
      </c>
      <c r="D85" t="s">
        <v>89</v>
      </c>
      <c r="E85" t="s">
        <v>4</v>
      </c>
      <c r="F85">
        <f>82/4</f>
        <v>20.5</v>
      </c>
      <c r="G85" t="s">
        <v>5</v>
      </c>
    </row>
    <row r="87" spans="1:7" x14ac:dyDescent="0.35">
      <c r="A87" t="s">
        <v>4254</v>
      </c>
      <c r="B87" t="s">
        <v>4255</v>
      </c>
      <c r="C87" t="s">
        <v>1260</v>
      </c>
      <c r="D87" t="s">
        <v>573</v>
      </c>
      <c r="E87" t="s">
        <v>4</v>
      </c>
      <c r="F87">
        <f>1418/90</f>
        <v>15.755555555555556</v>
      </c>
      <c r="G87" t="s">
        <v>10</v>
      </c>
    </row>
    <row r="89" spans="1:7" x14ac:dyDescent="0.35">
      <c r="A89" t="s">
        <v>4263</v>
      </c>
      <c r="B89" t="s">
        <v>260</v>
      </c>
      <c r="C89" t="s">
        <v>4264</v>
      </c>
      <c r="D89" t="s">
        <v>1112</v>
      </c>
      <c r="E89" t="s">
        <v>4</v>
      </c>
      <c r="F89">
        <f>166/6.5</f>
        <v>25.53846153846154</v>
      </c>
      <c r="G89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5BBA0-ED06-4CB5-BD6D-E2467026AAFB}">
  <dimension ref="A1:G49"/>
  <sheetViews>
    <sheetView topLeftCell="A24" workbookViewId="0">
      <selection activeCell="A51" sqref="A51:XFD51"/>
    </sheetView>
  </sheetViews>
  <sheetFormatPr defaultRowHeight="14.5" x14ac:dyDescent="0.35"/>
  <sheetData>
    <row r="1" spans="1:7" x14ac:dyDescent="0.35">
      <c r="A1" t="s">
        <v>212</v>
      </c>
      <c r="B1" t="s">
        <v>213</v>
      </c>
      <c r="C1" t="s">
        <v>214</v>
      </c>
      <c r="D1" t="s">
        <v>215</v>
      </c>
      <c r="E1" t="s">
        <v>4</v>
      </c>
      <c r="F1">
        <f>3600/152</f>
        <v>23.684210526315791</v>
      </c>
      <c r="G1" t="s">
        <v>10</v>
      </c>
    </row>
    <row r="3" spans="1:7" x14ac:dyDescent="0.35">
      <c r="A3" s="2" t="s">
        <v>342</v>
      </c>
      <c r="B3" s="2" t="s">
        <v>343</v>
      </c>
      <c r="C3" s="2" t="s">
        <v>344</v>
      </c>
      <c r="D3" s="2" t="s">
        <v>345</v>
      </c>
      <c r="E3" s="2" t="s">
        <v>4</v>
      </c>
      <c r="F3" s="2">
        <f>4400/108</f>
        <v>40.74074074074074</v>
      </c>
      <c r="G3" s="2" t="s">
        <v>5</v>
      </c>
    </row>
    <row r="5" spans="1:7" x14ac:dyDescent="0.35">
      <c r="A5" t="s">
        <v>1076</v>
      </c>
      <c r="B5" t="s">
        <v>1077</v>
      </c>
      <c r="C5" t="s">
        <v>1078</v>
      </c>
      <c r="D5" t="s">
        <v>1079</v>
      </c>
      <c r="E5" t="s">
        <v>4</v>
      </c>
      <c r="F5">
        <f>14870/450</f>
        <v>33.044444444444444</v>
      </c>
      <c r="G5" t="s">
        <v>5</v>
      </c>
    </row>
    <row r="7" spans="1:7" x14ac:dyDescent="0.35">
      <c r="A7" t="s">
        <v>1102</v>
      </c>
      <c r="B7" t="s">
        <v>1103</v>
      </c>
      <c r="C7" t="s">
        <v>1104</v>
      </c>
      <c r="D7" t="s">
        <v>9</v>
      </c>
      <c r="E7" t="s">
        <v>4</v>
      </c>
      <c r="F7">
        <f>3770/65</f>
        <v>58</v>
      </c>
      <c r="G7" t="s">
        <v>5</v>
      </c>
    </row>
    <row r="8" spans="1:7" x14ac:dyDescent="0.35">
      <c r="D8" t="s">
        <v>1105</v>
      </c>
      <c r="F8">
        <f>3770/80</f>
        <v>47.125</v>
      </c>
      <c r="G8" t="s">
        <v>5</v>
      </c>
    </row>
    <row r="10" spans="1:7" x14ac:dyDescent="0.35">
      <c r="A10" t="s">
        <v>1115</v>
      </c>
      <c r="B10" t="s">
        <v>1116</v>
      </c>
      <c r="C10" t="s">
        <v>1117</v>
      </c>
      <c r="D10" t="s">
        <v>265</v>
      </c>
      <c r="E10" t="s">
        <v>4</v>
      </c>
      <c r="F10">
        <f>2300/45</f>
        <v>51.111111111111114</v>
      </c>
      <c r="G10" t="s">
        <v>5</v>
      </c>
    </row>
    <row r="12" spans="1:7" x14ac:dyDescent="0.35">
      <c r="A12" t="s">
        <v>1444</v>
      </c>
      <c r="B12" t="s">
        <v>1445</v>
      </c>
      <c r="C12" t="s">
        <v>1446</v>
      </c>
      <c r="D12" t="s">
        <v>219</v>
      </c>
      <c r="E12" t="s">
        <v>4</v>
      </c>
      <c r="F12">
        <f>400/5.5</f>
        <v>72.727272727272734</v>
      </c>
      <c r="G12" t="s">
        <v>5</v>
      </c>
    </row>
    <row r="14" spans="1:7" x14ac:dyDescent="0.35">
      <c r="A14" t="s">
        <v>1682</v>
      </c>
      <c r="B14" t="s">
        <v>1683</v>
      </c>
      <c r="C14" t="s">
        <v>1684</v>
      </c>
      <c r="D14" t="s">
        <v>1685</v>
      </c>
      <c r="E14" t="s">
        <v>4</v>
      </c>
      <c r="F14">
        <f>9600/353</f>
        <v>27.195467422096318</v>
      </c>
      <c r="G14" t="s">
        <v>10</v>
      </c>
    </row>
    <row r="16" spans="1:7" x14ac:dyDescent="0.35">
      <c r="A16" s="1" t="s">
        <v>1798</v>
      </c>
      <c r="B16" s="1" t="s">
        <v>1799</v>
      </c>
      <c r="C16" s="1" t="s">
        <v>1800</v>
      </c>
      <c r="D16" s="1" t="s">
        <v>1801</v>
      </c>
      <c r="E16" s="1" t="s">
        <v>4</v>
      </c>
      <c r="F16" s="1">
        <f>500/21.8</f>
        <v>22.935779816513762</v>
      </c>
      <c r="G16" s="1" t="s">
        <v>10</v>
      </c>
    </row>
    <row r="18" spans="1:7" x14ac:dyDescent="0.35">
      <c r="A18" t="s">
        <v>1898</v>
      </c>
      <c r="B18" t="s">
        <v>1899</v>
      </c>
      <c r="C18" t="s">
        <v>1900</v>
      </c>
      <c r="D18" t="s">
        <v>1901</v>
      </c>
      <c r="E18" t="s">
        <v>4</v>
      </c>
      <c r="F18">
        <f>2200/72</f>
        <v>30.555555555555557</v>
      </c>
      <c r="G18" t="s">
        <v>5</v>
      </c>
    </row>
    <row r="20" spans="1:7" x14ac:dyDescent="0.35">
      <c r="A20" t="s">
        <v>1918</v>
      </c>
      <c r="B20" t="s">
        <v>29</v>
      </c>
      <c r="C20" t="s">
        <v>30</v>
      </c>
    </row>
    <row r="22" spans="1:7" x14ac:dyDescent="0.35">
      <c r="A22" t="s">
        <v>1926</v>
      </c>
      <c r="B22" t="s">
        <v>1927</v>
      </c>
      <c r="C22" t="s">
        <v>1928</v>
      </c>
      <c r="D22" t="s">
        <v>23</v>
      </c>
      <c r="E22" t="s">
        <v>4</v>
      </c>
      <c r="F22">
        <f>1077/21</f>
        <v>51.285714285714285</v>
      </c>
      <c r="G22" t="s">
        <v>5</v>
      </c>
    </row>
    <row r="24" spans="1:7" x14ac:dyDescent="0.35">
      <c r="A24" t="s">
        <v>2011</v>
      </c>
      <c r="B24" t="s">
        <v>2012</v>
      </c>
      <c r="C24" t="s">
        <v>2013</v>
      </c>
      <c r="D24" t="s">
        <v>2014</v>
      </c>
      <c r="E24" t="s">
        <v>4</v>
      </c>
      <c r="F24">
        <f>867/36</f>
        <v>24.083333333333332</v>
      </c>
      <c r="G24" t="s">
        <v>10</v>
      </c>
    </row>
    <row r="26" spans="1:7" x14ac:dyDescent="0.35">
      <c r="A26" t="s">
        <v>2121</v>
      </c>
      <c r="B26" t="s">
        <v>2122</v>
      </c>
      <c r="C26" t="s">
        <v>2123</v>
      </c>
      <c r="D26" t="s">
        <v>35</v>
      </c>
      <c r="E26" t="s">
        <v>4</v>
      </c>
      <c r="F26">
        <f>172/6</f>
        <v>28.666666666666668</v>
      </c>
      <c r="G26" t="s">
        <v>5</v>
      </c>
    </row>
    <row r="28" spans="1:7" x14ac:dyDescent="0.35">
      <c r="A28" t="s">
        <v>2331</v>
      </c>
      <c r="B28" t="s">
        <v>2332</v>
      </c>
      <c r="C28" t="s">
        <v>2333</v>
      </c>
      <c r="D28" t="s">
        <v>2334</v>
      </c>
      <c r="E28" t="s">
        <v>4</v>
      </c>
      <c r="F28">
        <f>20000/1050</f>
        <v>19.047619047619047</v>
      </c>
      <c r="G28" t="s">
        <v>10</v>
      </c>
    </row>
    <row r="30" spans="1:7" x14ac:dyDescent="0.35">
      <c r="A30" t="s">
        <v>2614</v>
      </c>
      <c r="B30" t="s">
        <v>608</v>
      </c>
      <c r="C30" t="s">
        <v>1619</v>
      </c>
      <c r="D30" t="s">
        <v>178</v>
      </c>
      <c r="E30" t="s">
        <v>4</v>
      </c>
      <c r="F30">
        <f>446/15</f>
        <v>29.733333333333334</v>
      </c>
      <c r="G30" t="s">
        <v>5</v>
      </c>
    </row>
    <row r="32" spans="1:7" x14ac:dyDescent="0.35">
      <c r="A32" t="s">
        <v>2668</v>
      </c>
      <c r="B32" t="s">
        <v>2669</v>
      </c>
      <c r="C32" t="s">
        <v>2670</v>
      </c>
      <c r="D32" t="s">
        <v>2037</v>
      </c>
      <c r="E32" t="s">
        <v>4</v>
      </c>
      <c r="F32">
        <f>5800/155</f>
        <v>37.41935483870968</v>
      </c>
      <c r="G32" t="s">
        <v>5</v>
      </c>
    </row>
    <row r="33" spans="1:7" x14ac:dyDescent="0.35">
      <c r="D33" t="s">
        <v>2671</v>
      </c>
      <c r="F33">
        <f>5800/180</f>
        <v>32.222222222222221</v>
      </c>
      <c r="G33" t="s">
        <v>5</v>
      </c>
    </row>
    <row r="35" spans="1:7" x14ac:dyDescent="0.35">
      <c r="A35" t="s">
        <v>2760</v>
      </c>
      <c r="B35" t="s">
        <v>29</v>
      </c>
      <c r="C35" t="s">
        <v>30</v>
      </c>
    </row>
    <row r="37" spans="1:7" x14ac:dyDescent="0.35">
      <c r="A37" t="s">
        <v>2891</v>
      </c>
      <c r="B37" t="s">
        <v>2892</v>
      </c>
      <c r="C37" t="s">
        <v>2893</v>
      </c>
      <c r="D37" t="s">
        <v>692</v>
      </c>
      <c r="E37" t="s">
        <v>4</v>
      </c>
      <c r="F37">
        <f>5759/280</f>
        <v>20.567857142857143</v>
      </c>
      <c r="G37" t="s">
        <v>10</v>
      </c>
    </row>
    <row r="39" spans="1:7" x14ac:dyDescent="0.35">
      <c r="A39" t="s">
        <v>3212</v>
      </c>
      <c r="B39" t="s">
        <v>3213</v>
      </c>
      <c r="C39" t="s">
        <v>3214</v>
      </c>
      <c r="D39" t="s">
        <v>3215</v>
      </c>
      <c r="E39" t="s">
        <v>4</v>
      </c>
      <c r="F39">
        <f>3850/127</f>
        <v>30.314960629921259</v>
      </c>
      <c r="G39" t="s">
        <v>5</v>
      </c>
    </row>
    <row r="41" spans="1:7" x14ac:dyDescent="0.35">
      <c r="A41" t="s">
        <v>3226</v>
      </c>
      <c r="B41" t="s">
        <v>3227</v>
      </c>
      <c r="C41" t="s">
        <v>3228</v>
      </c>
      <c r="D41" t="s">
        <v>2812</v>
      </c>
      <c r="E41" t="s">
        <v>4</v>
      </c>
      <c r="F41">
        <f>7200/200</f>
        <v>36</v>
      </c>
      <c r="G41" t="s">
        <v>5</v>
      </c>
    </row>
    <row r="43" spans="1:7" x14ac:dyDescent="0.35">
      <c r="A43" t="s">
        <v>3309</v>
      </c>
      <c r="B43" t="s">
        <v>3310</v>
      </c>
      <c r="C43" t="s">
        <v>3311</v>
      </c>
      <c r="D43" t="s">
        <v>498</v>
      </c>
      <c r="E43" t="s">
        <v>4</v>
      </c>
      <c r="F43">
        <f>442/8</f>
        <v>55.25</v>
      </c>
      <c r="G43" t="s">
        <v>5</v>
      </c>
    </row>
    <row r="45" spans="1:7" x14ac:dyDescent="0.35">
      <c r="A45" t="s">
        <v>3419</v>
      </c>
      <c r="B45" t="s">
        <v>1637</v>
      </c>
      <c r="C45" t="s">
        <v>867</v>
      </c>
      <c r="D45" t="s">
        <v>325</v>
      </c>
      <c r="E45" t="s">
        <v>4</v>
      </c>
      <c r="F45">
        <f>206/5.7</f>
        <v>36.140350877192979</v>
      </c>
      <c r="G45" t="s">
        <v>5</v>
      </c>
    </row>
    <row r="47" spans="1:7" x14ac:dyDescent="0.35">
      <c r="A47" t="s">
        <v>3432</v>
      </c>
      <c r="B47" t="s">
        <v>3433</v>
      </c>
      <c r="C47" t="s">
        <v>3434</v>
      </c>
      <c r="D47" t="s">
        <v>2037</v>
      </c>
      <c r="E47" t="s">
        <v>4</v>
      </c>
      <c r="F47">
        <f>3675/155</f>
        <v>23.70967741935484</v>
      </c>
      <c r="G47" t="s">
        <v>10</v>
      </c>
    </row>
    <row r="49" spans="1:7" x14ac:dyDescent="0.35">
      <c r="A49" t="s">
        <v>3862</v>
      </c>
      <c r="B49" t="s">
        <v>1952</v>
      </c>
      <c r="C49" t="s">
        <v>3863</v>
      </c>
      <c r="D49" t="s">
        <v>153</v>
      </c>
      <c r="E49" t="s">
        <v>4</v>
      </c>
      <c r="F49">
        <f>511/26</f>
        <v>19.653846153846153</v>
      </c>
      <c r="G4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97243-1088-4BCD-8E3E-45C22B3D35FE}">
  <dimension ref="A1:G202"/>
  <sheetViews>
    <sheetView topLeftCell="A175" workbookViewId="0">
      <selection activeCell="A204" sqref="A204"/>
    </sheetView>
  </sheetViews>
  <sheetFormatPr defaultRowHeight="14.5" x14ac:dyDescent="0.35"/>
  <sheetData>
    <row r="1" spans="1:7" x14ac:dyDescent="0.35">
      <c r="A1" t="s">
        <v>56</v>
      </c>
      <c r="B1" t="s">
        <v>57</v>
      </c>
      <c r="C1" t="s">
        <v>58</v>
      </c>
      <c r="D1" t="s">
        <v>59</v>
      </c>
      <c r="E1" t="s">
        <v>4</v>
      </c>
      <c r="F1">
        <f>266/13</f>
        <v>20.46153846153846</v>
      </c>
      <c r="G1" t="s">
        <v>60</v>
      </c>
    </row>
    <row r="3" spans="1:7" x14ac:dyDescent="0.35">
      <c r="A3" t="s">
        <v>205</v>
      </c>
      <c r="B3" t="s">
        <v>206</v>
      </c>
      <c r="C3" t="s">
        <v>207</v>
      </c>
      <c r="D3" t="s">
        <v>35</v>
      </c>
      <c r="E3" t="s">
        <v>4</v>
      </c>
      <c r="F3">
        <f>127/6</f>
        <v>21.166666666666668</v>
      </c>
      <c r="G3" t="s">
        <v>10</v>
      </c>
    </row>
    <row r="5" spans="1:7" x14ac:dyDescent="0.35">
      <c r="A5" t="s">
        <v>441</v>
      </c>
      <c r="B5" t="s">
        <v>442</v>
      </c>
      <c r="C5" t="s">
        <v>443</v>
      </c>
      <c r="D5" t="s">
        <v>444</v>
      </c>
      <c r="E5" t="s">
        <v>4</v>
      </c>
      <c r="F5">
        <f>1875/96</f>
        <v>19.53125</v>
      </c>
      <c r="G5" t="s">
        <v>10</v>
      </c>
    </row>
    <row r="7" spans="1:7" x14ac:dyDescent="0.35">
      <c r="A7" t="s">
        <v>617</v>
      </c>
      <c r="B7" t="s">
        <v>618</v>
      </c>
      <c r="C7" t="s">
        <v>619</v>
      </c>
      <c r="D7" t="s">
        <v>573</v>
      </c>
      <c r="E7" t="s">
        <v>4</v>
      </c>
      <c r="F7">
        <f>6700/90</f>
        <v>74.444444444444443</v>
      </c>
      <c r="G7" t="s">
        <v>5</v>
      </c>
    </row>
    <row r="9" spans="1:7" x14ac:dyDescent="0.35">
      <c r="A9" t="s">
        <v>664</v>
      </c>
      <c r="B9" t="s">
        <v>665</v>
      </c>
      <c r="C9" t="s">
        <v>666</v>
      </c>
      <c r="D9" t="s">
        <v>59</v>
      </c>
      <c r="E9" t="s">
        <v>4</v>
      </c>
      <c r="F9">
        <f>192/13</f>
        <v>14.76923076923077</v>
      </c>
      <c r="G9" t="s">
        <v>10</v>
      </c>
    </row>
    <row r="11" spans="1:7" x14ac:dyDescent="0.35">
      <c r="A11" t="s">
        <v>775</v>
      </c>
      <c r="B11" t="s">
        <v>669</v>
      </c>
      <c r="C11" t="s">
        <v>776</v>
      </c>
      <c r="D11" t="s">
        <v>79</v>
      </c>
      <c r="E11" t="s">
        <v>4</v>
      </c>
      <c r="F11">
        <f>474/10</f>
        <v>47.4</v>
      </c>
      <c r="G11" t="s">
        <v>5</v>
      </c>
    </row>
    <row r="13" spans="1:7" x14ac:dyDescent="0.35">
      <c r="A13" t="s">
        <v>882</v>
      </c>
      <c r="B13" t="s">
        <v>883</v>
      </c>
      <c r="C13" t="s">
        <v>884</v>
      </c>
      <c r="D13" t="s">
        <v>677</v>
      </c>
      <c r="E13" t="s">
        <v>4</v>
      </c>
      <c r="F13">
        <f>456/9.5</f>
        <v>48</v>
      </c>
      <c r="G13" t="s">
        <v>5</v>
      </c>
    </row>
    <row r="15" spans="1:7" x14ac:dyDescent="0.35">
      <c r="A15" t="s">
        <v>918</v>
      </c>
      <c r="B15" t="s">
        <v>919</v>
      </c>
      <c r="C15" t="s">
        <v>920</v>
      </c>
      <c r="D15" t="s">
        <v>9</v>
      </c>
      <c r="E15" t="s">
        <v>4</v>
      </c>
      <c r="F15">
        <f>1080/65</f>
        <v>16.615384615384617</v>
      </c>
      <c r="G15" t="s">
        <v>10</v>
      </c>
    </row>
    <row r="17" spans="1:7" x14ac:dyDescent="0.35">
      <c r="A17" t="s">
        <v>962</v>
      </c>
      <c r="B17" t="s">
        <v>282</v>
      </c>
      <c r="C17" t="s">
        <v>963</v>
      </c>
      <c r="D17" t="s">
        <v>192</v>
      </c>
      <c r="E17" t="s">
        <v>4</v>
      </c>
      <c r="F17">
        <f>500/11</f>
        <v>45.454545454545453</v>
      </c>
      <c r="G17" t="s">
        <v>5</v>
      </c>
    </row>
    <row r="19" spans="1:7" x14ac:dyDescent="0.35">
      <c r="A19" t="s">
        <v>989</v>
      </c>
      <c r="B19" t="s">
        <v>551</v>
      </c>
      <c r="C19" t="s">
        <v>990</v>
      </c>
      <c r="D19" t="s">
        <v>79</v>
      </c>
      <c r="E19" t="s">
        <v>4</v>
      </c>
      <c r="F19">
        <f>389/10</f>
        <v>38.9</v>
      </c>
      <c r="G19" t="s">
        <v>5</v>
      </c>
    </row>
    <row r="21" spans="1:7" x14ac:dyDescent="0.35">
      <c r="A21" t="s">
        <v>1003</v>
      </c>
      <c r="B21" t="s">
        <v>1004</v>
      </c>
      <c r="C21" t="s">
        <v>1005</v>
      </c>
      <c r="D21" t="s">
        <v>79</v>
      </c>
      <c r="E21" t="s">
        <v>4</v>
      </c>
      <c r="F21">
        <f>97/10</f>
        <v>9.6999999999999993</v>
      </c>
      <c r="G21" t="s">
        <v>10</v>
      </c>
    </row>
    <row r="23" spans="1:7" x14ac:dyDescent="0.35">
      <c r="A23" t="s">
        <v>1084</v>
      </c>
      <c r="B23" t="s">
        <v>1085</v>
      </c>
      <c r="C23" t="s">
        <v>1086</v>
      </c>
      <c r="D23" t="s">
        <v>219</v>
      </c>
      <c r="E23" t="s">
        <v>4</v>
      </c>
      <c r="F23">
        <f>59/5.5</f>
        <v>10.727272727272727</v>
      </c>
      <c r="G23" t="s">
        <v>10</v>
      </c>
    </row>
    <row r="25" spans="1:7" x14ac:dyDescent="0.35">
      <c r="A25" t="s">
        <v>1099</v>
      </c>
      <c r="B25" t="s">
        <v>1100</v>
      </c>
      <c r="C25" t="s">
        <v>1101</v>
      </c>
      <c r="D25" t="s">
        <v>459</v>
      </c>
      <c r="E25" t="s">
        <v>4</v>
      </c>
      <c r="F25">
        <f>7780/170</f>
        <v>45.764705882352942</v>
      </c>
      <c r="G25" t="s">
        <v>5</v>
      </c>
    </row>
    <row r="27" spans="1:7" x14ac:dyDescent="0.35">
      <c r="A27" t="s">
        <v>1156</v>
      </c>
      <c r="B27" t="s">
        <v>29</v>
      </c>
      <c r="C27" t="s">
        <v>30</v>
      </c>
    </row>
    <row r="29" spans="1:7" x14ac:dyDescent="0.35">
      <c r="A29" t="s">
        <v>1216</v>
      </c>
      <c r="B29" t="s">
        <v>296</v>
      </c>
      <c r="C29" t="s">
        <v>1217</v>
      </c>
      <c r="D29" t="s">
        <v>178</v>
      </c>
      <c r="E29" t="s">
        <v>4</v>
      </c>
      <c r="F29">
        <f>427/15</f>
        <v>28.466666666666665</v>
      </c>
      <c r="G29" t="s">
        <v>5</v>
      </c>
    </row>
    <row r="31" spans="1:7" x14ac:dyDescent="0.35">
      <c r="A31" t="s">
        <v>1222</v>
      </c>
      <c r="B31" t="s">
        <v>1035</v>
      </c>
      <c r="C31" t="s">
        <v>1223</v>
      </c>
      <c r="D31" t="s">
        <v>366</v>
      </c>
      <c r="E31" t="s">
        <v>4</v>
      </c>
      <c r="F31">
        <f>460/14</f>
        <v>32.857142857142854</v>
      </c>
      <c r="G31" t="s">
        <v>5</v>
      </c>
    </row>
    <row r="33" spans="1:7" x14ac:dyDescent="0.35">
      <c r="A33" t="s">
        <v>1293</v>
      </c>
      <c r="B33" t="s">
        <v>1294</v>
      </c>
      <c r="C33" t="s">
        <v>1295</v>
      </c>
      <c r="D33" t="s">
        <v>153</v>
      </c>
      <c r="E33" t="s">
        <v>4</v>
      </c>
      <c r="F33">
        <f>895/26</f>
        <v>34.42307692307692</v>
      </c>
      <c r="G33" t="s">
        <v>5</v>
      </c>
    </row>
    <row r="35" spans="1:7" x14ac:dyDescent="0.35">
      <c r="A35" t="s">
        <v>1371</v>
      </c>
      <c r="B35" t="s">
        <v>1372</v>
      </c>
      <c r="C35" t="s">
        <v>1373</v>
      </c>
      <c r="D35" t="s">
        <v>1374</v>
      </c>
      <c r="E35" t="s">
        <v>4</v>
      </c>
      <c r="F35">
        <f>1940/81</f>
        <v>23.950617283950617</v>
      </c>
      <c r="G35" t="s">
        <v>5</v>
      </c>
    </row>
    <row r="37" spans="1:7" x14ac:dyDescent="0.35">
      <c r="A37" t="s">
        <v>1375</v>
      </c>
      <c r="B37" t="s">
        <v>992</v>
      </c>
      <c r="C37" t="s">
        <v>1376</v>
      </c>
      <c r="D37" t="s">
        <v>309</v>
      </c>
      <c r="E37" t="s">
        <v>4</v>
      </c>
      <c r="F37">
        <f>360/17</f>
        <v>21.176470588235293</v>
      </c>
      <c r="G37" t="s">
        <v>5</v>
      </c>
    </row>
    <row r="39" spans="1:7" x14ac:dyDescent="0.35">
      <c r="A39" t="s">
        <v>1461</v>
      </c>
      <c r="B39" t="s">
        <v>1462</v>
      </c>
      <c r="C39" t="s">
        <v>1463</v>
      </c>
      <c r="D39" t="s">
        <v>280</v>
      </c>
      <c r="E39" t="s">
        <v>4</v>
      </c>
      <c r="F39">
        <f>535/20</f>
        <v>26.75</v>
      </c>
      <c r="G39" t="s">
        <v>15</v>
      </c>
    </row>
    <row r="41" spans="1:7" x14ac:dyDescent="0.35">
      <c r="A41" t="s">
        <v>1553</v>
      </c>
      <c r="B41" t="s">
        <v>1554</v>
      </c>
      <c r="C41" t="s">
        <v>1555</v>
      </c>
      <c r="D41" t="s">
        <v>19</v>
      </c>
      <c r="E41" t="s">
        <v>4</v>
      </c>
      <c r="F41">
        <f>564/9</f>
        <v>62.666666666666664</v>
      </c>
      <c r="G41" t="s">
        <v>5</v>
      </c>
    </row>
    <row r="43" spans="1:7" x14ac:dyDescent="0.35">
      <c r="A43" t="s">
        <v>1570</v>
      </c>
      <c r="B43" t="s">
        <v>1571</v>
      </c>
      <c r="C43" t="s">
        <v>1572</v>
      </c>
      <c r="D43" t="s">
        <v>79</v>
      </c>
      <c r="E43" t="s">
        <v>4</v>
      </c>
      <c r="F43">
        <f>322/10</f>
        <v>32.200000000000003</v>
      </c>
      <c r="G43" t="s">
        <v>5</v>
      </c>
    </row>
    <row r="45" spans="1:7" x14ac:dyDescent="0.35">
      <c r="A45" t="s">
        <v>1573</v>
      </c>
      <c r="B45" t="s">
        <v>1574</v>
      </c>
      <c r="C45" t="s">
        <v>1575</v>
      </c>
      <c r="D45" t="s">
        <v>258</v>
      </c>
      <c r="E45" t="s">
        <v>4</v>
      </c>
      <c r="F45">
        <f>101/5</f>
        <v>20.2</v>
      </c>
      <c r="G45" t="s">
        <v>15</v>
      </c>
    </row>
    <row r="47" spans="1:7" x14ac:dyDescent="0.35">
      <c r="A47" t="s">
        <v>1579</v>
      </c>
      <c r="B47" t="s">
        <v>1580</v>
      </c>
      <c r="C47" t="s">
        <v>1581</v>
      </c>
      <c r="D47" t="s">
        <v>134</v>
      </c>
      <c r="E47" t="s">
        <v>4</v>
      </c>
      <c r="F47">
        <f>1000/12</f>
        <v>83.333333333333329</v>
      </c>
      <c r="G47" t="s">
        <v>5</v>
      </c>
    </row>
    <row r="49" spans="1:7" x14ac:dyDescent="0.35">
      <c r="A49" t="s">
        <v>1582</v>
      </c>
      <c r="B49" t="s">
        <v>1583</v>
      </c>
      <c r="C49" t="s">
        <v>1584</v>
      </c>
      <c r="D49" t="s">
        <v>596</v>
      </c>
      <c r="E49" t="s">
        <v>4</v>
      </c>
      <c r="F49">
        <f>762/55</f>
        <v>13.854545454545455</v>
      </c>
      <c r="G49" t="s">
        <v>10</v>
      </c>
    </row>
    <row r="51" spans="1:7" x14ac:dyDescent="0.35">
      <c r="A51" t="s">
        <v>1624</v>
      </c>
      <c r="B51" t="s">
        <v>1625</v>
      </c>
      <c r="C51" t="s">
        <v>1626</v>
      </c>
      <c r="D51" t="s">
        <v>1191</v>
      </c>
      <c r="E51" t="s">
        <v>4</v>
      </c>
      <c r="F51">
        <f>43/1</f>
        <v>43</v>
      </c>
      <c r="G51" t="s">
        <v>5</v>
      </c>
    </row>
    <row r="53" spans="1:7" x14ac:dyDescent="0.35">
      <c r="A53" t="s">
        <v>1710</v>
      </c>
      <c r="B53" t="s">
        <v>540</v>
      </c>
      <c r="C53" t="s">
        <v>1711</v>
      </c>
      <c r="D53" t="s">
        <v>164</v>
      </c>
      <c r="E53" t="s">
        <v>4</v>
      </c>
      <c r="F53">
        <f>800/25</f>
        <v>32</v>
      </c>
      <c r="G53" t="s">
        <v>5</v>
      </c>
    </row>
    <row r="55" spans="1:7" x14ac:dyDescent="0.35">
      <c r="A55" t="s">
        <v>1726</v>
      </c>
      <c r="B55" t="s">
        <v>21</v>
      </c>
      <c r="C55" t="s">
        <v>1727</v>
      </c>
      <c r="D55" t="s">
        <v>1016</v>
      </c>
      <c r="E55" t="s">
        <v>4</v>
      </c>
      <c r="F55">
        <f>204/12.8</f>
        <v>15.9375</v>
      </c>
      <c r="G55" t="s">
        <v>10</v>
      </c>
    </row>
    <row r="57" spans="1:7" x14ac:dyDescent="0.35">
      <c r="A57" t="s">
        <v>1782</v>
      </c>
      <c r="B57" t="s">
        <v>1783</v>
      </c>
      <c r="C57" t="s">
        <v>753</v>
      </c>
      <c r="D57" t="s">
        <v>153</v>
      </c>
      <c r="E57" t="s">
        <v>4</v>
      </c>
      <c r="F57">
        <f>755/26</f>
        <v>29.03846153846154</v>
      </c>
      <c r="G57" t="s">
        <v>5</v>
      </c>
    </row>
    <row r="59" spans="1:7" x14ac:dyDescent="0.35">
      <c r="A59" t="s">
        <v>1817</v>
      </c>
      <c r="B59" t="s">
        <v>1657</v>
      </c>
      <c r="C59" t="s">
        <v>1818</v>
      </c>
      <c r="D59" t="s">
        <v>35</v>
      </c>
      <c r="E59" t="s">
        <v>4</v>
      </c>
      <c r="F59">
        <f>171/6</f>
        <v>28.5</v>
      </c>
      <c r="G59" t="s">
        <v>5</v>
      </c>
    </row>
    <row r="61" spans="1:7" x14ac:dyDescent="0.35">
      <c r="A61" t="s">
        <v>1915</v>
      </c>
      <c r="B61" t="s">
        <v>1916</v>
      </c>
      <c r="C61" t="s">
        <v>1917</v>
      </c>
      <c r="D61" t="s">
        <v>309</v>
      </c>
      <c r="E61" t="s">
        <v>4</v>
      </c>
      <c r="F61">
        <f>150/17</f>
        <v>8.8235294117647065</v>
      </c>
      <c r="G61" t="s">
        <v>10</v>
      </c>
    </row>
    <row r="63" spans="1:7" x14ac:dyDescent="0.35">
      <c r="A63" t="s">
        <v>1947</v>
      </c>
      <c r="B63" t="s">
        <v>1948</v>
      </c>
      <c r="C63" t="s">
        <v>1949</v>
      </c>
      <c r="D63" t="s">
        <v>1950</v>
      </c>
      <c r="E63" t="s">
        <v>4</v>
      </c>
      <c r="F63">
        <f>2670/121</f>
        <v>22.06611570247934</v>
      </c>
      <c r="G63" t="s">
        <v>10</v>
      </c>
    </row>
    <row r="65" spans="1:7" x14ac:dyDescent="0.35">
      <c r="A65" t="s">
        <v>1996</v>
      </c>
      <c r="B65" t="s">
        <v>784</v>
      </c>
      <c r="C65" t="s">
        <v>753</v>
      </c>
      <c r="D65" t="s">
        <v>86</v>
      </c>
      <c r="E65" t="s">
        <v>4</v>
      </c>
      <c r="F65">
        <f>773/22</f>
        <v>35.136363636363633</v>
      </c>
      <c r="G65" t="s">
        <v>5</v>
      </c>
    </row>
    <row r="67" spans="1:7" x14ac:dyDescent="0.35">
      <c r="A67" t="s">
        <v>2007</v>
      </c>
      <c r="B67" t="s">
        <v>781</v>
      </c>
      <c r="C67" t="s">
        <v>2008</v>
      </c>
      <c r="D67" t="s">
        <v>247</v>
      </c>
      <c r="E67" t="s">
        <v>4</v>
      </c>
      <c r="F67">
        <f>203/8.5</f>
        <v>23.882352941176471</v>
      </c>
      <c r="G67" t="s">
        <v>5</v>
      </c>
    </row>
    <row r="69" spans="1:7" x14ac:dyDescent="0.35">
      <c r="A69" t="s">
        <v>2058</v>
      </c>
      <c r="B69" t="s">
        <v>2059</v>
      </c>
      <c r="C69" t="s">
        <v>2060</v>
      </c>
      <c r="D69" t="s">
        <v>352</v>
      </c>
      <c r="E69" t="s">
        <v>4</v>
      </c>
      <c r="F69">
        <f>900/18</f>
        <v>50</v>
      </c>
      <c r="G69" t="s">
        <v>5</v>
      </c>
    </row>
    <row r="71" spans="1:7" x14ac:dyDescent="0.35">
      <c r="A71" t="s">
        <v>2069</v>
      </c>
      <c r="B71" t="s">
        <v>2070</v>
      </c>
      <c r="C71" t="s">
        <v>2071</v>
      </c>
      <c r="D71" t="s">
        <v>1112</v>
      </c>
      <c r="E71" t="s">
        <v>4</v>
      </c>
      <c r="F71">
        <f>152/6.5</f>
        <v>23.384615384615383</v>
      </c>
      <c r="G71" t="s">
        <v>10</v>
      </c>
    </row>
    <row r="73" spans="1:7" x14ac:dyDescent="0.35">
      <c r="A73" t="s">
        <v>2096</v>
      </c>
      <c r="B73" t="s">
        <v>29</v>
      </c>
      <c r="C73" t="s">
        <v>543</v>
      </c>
      <c r="D73" t="s">
        <v>144</v>
      </c>
      <c r="E73" t="s">
        <v>4</v>
      </c>
      <c r="F73">
        <f>2700/30</f>
        <v>90</v>
      </c>
      <c r="G73" t="s">
        <v>5</v>
      </c>
    </row>
    <row r="75" spans="1:7" x14ac:dyDescent="0.35">
      <c r="A75" t="s">
        <v>2183</v>
      </c>
      <c r="B75" t="s">
        <v>734</v>
      </c>
      <c r="C75" t="s">
        <v>2184</v>
      </c>
      <c r="D75" t="s">
        <v>229</v>
      </c>
      <c r="E75" t="s">
        <v>4</v>
      </c>
      <c r="F75">
        <f>770/31</f>
        <v>24.838709677419356</v>
      </c>
      <c r="G75" t="s">
        <v>10</v>
      </c>
    </row>
    <row r="77" spans="1:7" x14ac:dyDescent="0.35">
      <c r="A77" t="s">
        <v>2209</v>
      </c>
      <c r="B77" t="s">
        <v>2210</v>
      </c>
      <c r="C77" t="s">
        <v>2211</v>
      </c>
      <c r="D77" t="s">
        <v>1245</v>
      </c>
      <c r="E77" t="s">
        <v>4</v>
      </c>
      <c r="F77">
        <f>2635/38</f>
        <v>69.34210526315789</v>
      </c>
      <c r="G77" t="s">
        <v>5</v>
      </c>
    </row>
    <row r="79" spans="1:7" x14ac:dyDescent="0.35">
      <c r="A79" t="s">
        <v>2236</v>
      </c>
      <c r="B79" t="s">
        <v>2237</v>
      </c>
      <c r="C79" t="s">
        <v>2238</v>
      </c>
      <c r="D79" t="s">
        <v>164</v>
      </c>
      <c r="E79" t="s">
        <v>4</v>
      </c>
      <c r="F79">
        <f>732/25</f>
        <v>29.28</v>
      </c>
      <c r="G79" t="s">
        <v>15</v>
      </c>
    </row>
    <row r="81" spans="1:7" x14ac:dyDescent="0.35">
      <c r="A81" t="s">
        <v>2321</v>
      </c>
      <c r="B81" t="s">
        <v>2322</v>
      </c>
      <c r="C81" t="s">
        <v>344</v>
      </c>
      <c r="D81" t="s">
        <v>130</v>
      </c>
      <c r="E81" t="s">
        <v>4</v>
      </c>
      <c r="F81">
        <f>2100/100</f>
        <v>21</v>
      </c>
      <c r="G81" t="s">
        <v>10</v>
      </c>
    </row>
    <row r="83" spans="1:7" x14ac:dyDescent="0.35">
      <c r="A83" t="s">
        <v>2393</v>
      </c>
      <c r="B83" t="s">
        <v>2394</v>
      </c>
      <c r="C83" t="s">
        <v>1127</v>
      </c>
      <c r="D83" t="s">
        <v>258</v>
      </c>
      <c r="E83" t="s">
        <v>4</v>
      </c>
      <c r="F83">
        <f>170/5</f>
        <v>34</v>
      </c>
      <c r="G83" t="s">
        <v>5</v>
      </c>
    </row>
    <row r="85" spans="1:7" x14ac:dyDescent="0.35">
      <c r="A85" t="s">
        <v>2449</v>
      </c>
      <c r="B85" t="s">
        <v>2450</v>
      </c>
      <c r="C85" t="s">
        <v>320</v>
      </c>
      <c r="D85" t="s">
        <v>321</v>
      </c>
      <c r="E85" t="s">
        <v>4</v>
      </c>
      <c r="F85">
        <f>677/53</f>
        <v>12.773584905660377</v>
      </c>
      <c r="G85" t="s">
        <v>10</v>
      </c>
    </row>
    <row r="87" spans="1:7" x14ac:dyDescent="0.35">
      <c r="A87" t="s">
        <v>2465</v>
      </c>
      <c r="B87" t="s">
        <v>2466</v>
      </c>
      <c r="C87" t="s">
        <v>543</v>
      </c>
      <c r="D87" t="s">
        <v>1249</v>
      </c>
      <c r="E87" t="s">
        <v>4</v>
      </c>
      <c r="F87">
        <f>440/28</f>
        <v>15.714285714285714</v>
      </c>
      <c r="G87" t="s">
        <v>10</v>
      </c>
    </row>
    <row r="89" spans="1:7" x14ac:dyDescent="0.35">
      <c r="A89" t="s">
        <v>2523</v>
      </c>
      <c r="B89" t="s">
        <v>1544</v>
      </c>
      <c r="C89" t="s">
        <v>1831</v>
      </c>
      <c r="D89" t="s">
        <v>1002</v>
      </c>
      <c r="E89" t="s">
        <v>4</v>
      </c>
      <c r="F89">
        <f>84/7.5</f>
        <v>11.2</v>
      </c>
      <c r="G89" t="s">
        <v>10</v>
      </c>
    </row>
    <row r="91" spans="1:7" x14ac:dyDescent="0.35">
      <c r="A91" t="s">
        <v>2548</v>
      </c>
      <c r="B91" t="s">
        <v>2549</v>
      </c>
      <c r="C91" t="s">
        <v>2550</v>
      </c>
      <c r="D91" t="s">
        <v>1983</v>
      </c>
      <c r="E91" t="s">
        <v>4</v>
      </c>
      <c r="F91">
        <f>880/61</f>
        <v>14.426229508196721</v>
      </c>
      <c r="G91" t="s">
        <v>10</v>
      </c>
    </row>
    <row r="93" spans="1:7" x14ac:dyDescent="0.35">
      <c r="A93" t="s">
        <v>2555</v>
      </c>
      <c r="B93" t="s">
        <v>2556</v>
      </c>
      <c r="C93" t="s">
        <v>2557</v>
      </c>
      <c r="D93" t="s">
        <v>2558</v>
      </c>
      <c r="E93" t="s">
        <v>4</v>
      </c>
      <c r="F93">
        <f>36340/950</f>
        <v>38.252631578947366</v>
      </c>
      <c r="G93" t="s">
        <v>5</v>
      </c>
    </row>
    <row r="95" spans="1:7" x14ac:dyDescent="0.35">
      <c r="A95" t="s">
        <v>2579</v>
      </c>
      <c r="B95" t="s">
        <v>1694</v>
      </c>
      <c r="C95" t="s">
        <v>2580</v>
      </c>
      <c r="D95" t="s">
        <v>258</v>
      </c>
      <c r="E95" t="s">
        <v>4</v>
      </c>
      <c r="F95">
        <f>100/5</f>
        <v>20</v>
      </c>
      <c r="G95" t="s">
        <v>5</v>
      </c>
    </row>
    <row r="97" spans="1:7" x14ac:dyDescent="0.35">
      <c r="A97" t="s">
        <v>2602</v>
      </c>
      <c r="B97" t="s">
        <v>2603</v>
      </c>
      <c r="C97" t="s">
        <v>2604</v>
      </c>
      <c r="D97" t="s">
        <v>1002</v>
      </c>
      <c r="E97" t="s">
        <v>4</v>
      </c>
      <c r="F97">
        <f>124/7.5</f>
        <v>16.533333333333335</v>
      </c>
      <c r="G97" t="s">
        <v>5</v>
      </c>
    </row>
    <row r="99" spans="1:7" x14ac:dyDescent="0.35">
      <c r="A99" t="s">
        <v>2642</v>
      </c>
      <c r="B99" t="s">
        <v>2643</v>
      </c>
      <c r="C99" t="s">
        <v>2644</v>
      </c>
      <c r="D99" t="s">
        <v>505</v>
      </c>
      <c r="E99" t="s">
        <v>4</v>
      </c>
      <c r="F99">
        <f>1869/105</f>
        <v>17.8</v>
      </c>
      <c r="G99" t="s">
        <v>10</v>
      </c>
    </row>
    <row r="101" spans="1:7" x14ac:dyDescent="0.35">
      <c r="A101" t="s">
        <v>2662</v>
      </c>
      <c r="B101" t="s">
        <v>2663</v>
      </c>
      <c r="C101" t="s">
        <v>228</v>
      </c>
      <c r="D101" t="s">
        <v>144</v>
      </c>
      <c r="E101" t="s">
        <v>4</v>
      </c>
      <c r="F101">
        <f>361/30</f>
        <v>12.033333333333333</v>
      </c>
      <c r="G101" t="s">
        <v>10</v>
      </c>
    </row>
    <row r="103" spans="1:7" x14ac:dyDescent="0.35">
      <c r="A103" t="s">
        <v>2689</v>
      </c>
      <c r="B103" t="s">
        <v>2690</v>
      </c>
      <c r="C103" t="s">
        <v>2691</v>
      </c>
      <c r="D103" t="s">
        <v>164</v>
      </c>
      <c r="E103" t="s">
        <v>4</v>
      </c>
      <c r="F103">
        <f>810/25</f>
        <v>32.4</v>
      </c>
      <c r="G103" t="s">
        <v>5</v>
      </c>
    </row>
    <row r="105" spans="1:7" x14ac:dyDescent="0.35">
      <c r="A105" t="s">
        <v>2738</v>
      </c>
      <c r="B105" t="s">
        <v>461</v>
      </c>
      <c r="C105" t="s">
        <v>1723</v>
      </c>
      <c r="D105" t="s">
        <v>23</v>
      </c>
      <c r="E105" t="s">
        <v>4</v>
      </c>
      <c r="F105">
        <f>1200/21</f>
        <v>57.142857142857146</v>
      </c>
      <c r="G105" t="s">
        <v>5</v>
      </c>
    </row>
    <row r="107" spans="1:7" x14ac:dyDescent="0.35">
      <c r="A107" t="s">
        <v>2739</v>
      </c>
      <c r="B107" t="s">
        <v>1298</v>
      </c>
      <c r="C107" t="s">
        <v>2740</v>
      </c>
      <c r="D107" t="s">
        <v>75</v>
      </c>
      <c r="E107" t="s">
        <v>4</v>
      </c>
      <c r="F107">
        <f>385/15.5</f>
        <v>24.838709677419356</v>
      </c>
      <c r="G107" t="s">
        <v>5</v>
      </c>
    </row>
    <row r="109" spans="1:7" x14ac:dyDescent="0.35">
      <c r="A109" t="s">
        <v>2786</v>
      </c>
      <c r="B109" t="s">
        <v>29</v>
      </c>
      <c r="C109" t="s">
        <v>1379</v>
      </c>
      <c r="D109" t="s">
        <v>178</v>
      </c>
      <c r="E109" t="s">
        <v>4</v>
      </c>
      <c r="F109">
        <f>560/15</f>
        <v>37.333333333333336</v>
      </c>
      <c r="G109" t="s">
        <v>5</v>
      </c>
    </row>
    <row r="111" spans="1:7" x14ac:dyDescent="0.35">
      <c r="A111" t="s">
        <v>2787</v>
      </c>
      <c r="B111" t="s">
        <v>2788</v>
      </c>
      <c r="C111" t="s">
        <v>1379</v>
      </c>
      <c r="D111" t="s">
        <v>178</v>
      </c>
      <c r="E111" t="s">
        <v>4</v>
      </c>
      <c r="F111">
        <f>585/15</f>
        <v>39</v>
      </c>
      <c r="G111" t="s">
        <v>5</v>
      </c>
    </row>
    <row r="113" spans="1:7" x14ac:dyDescent="0.35">
      <c r="A113" t="s">
        <v>2813</v>
      </c>
      <c r="B113" t="s">
        <v>511</v>
      </c>
      <c r="C113" t="s">
        <v>1872</v>
      </c>
      <c r="D113" t="s">
        <v>309</v>
      </c>
      <c r="E113" t="s">
        <v>4</v>
      </c>
      <c r="F113">
        <f>512/17</f>
        <v>30.117647058823529</v>
      </c>
      <c r="G113" t="s">
        <v>5</v>
      </c>
    </row>
    <row r="115" spans="1:7" x14ac:dyDescent="0.35">
      <c r="A115" t="s">
        <v>2882</v>
      </c>
      <c r="B115" t="s">
        <v>2883</v>
      </c>
      <c r="C115" t="s">
        <v>2884</v>
      </c>
      <c r="D115" t="s">
        <v>2885</v>
      </c>
      <c r="E115" t="s">
        <v>4</v>
      </c>
      <c r="F115">
        <f>1750/99</f>
        <v>17.676767676767678</v>
      </c>
      <c r="G115" t="s">
        <v>10</v>
      </c>
    </row>
    <row r="117" spans="1:7" x14ac:dyDescent="0.35">
      <c r="A117" t="s">
        <v>2960</v>
      </c>
      <c r="B117" t="s">
        <v>1752</v>
      </c>
      <c r="C117" t="s">
        <v>2233</v>
      </c>
      <c r="D117" t="s">
        <v>192</v>
      </c>
      <c r="E117" t="s">
        <v>4</v>
      </c>
      <c r="F117">
        <f>450/11</f>
        <v>40.909090909090907</v>
      </c>
      <c r="G117" t="s">
        <v>5</v>
      </c>
    </row>
    <row r="119" spans="1:7" x14ac:dyDescent="0.35">
      <c r="A119" t="s">
        <v>3016</v>
      </c>
      <c r="B119" t="s">
        <v>909</v>
      </c>
      <c r="C119" t="s">
        <v>3017</v>
      </c>
      <c r="D119" t="s">
        <v>815</v>
      </c>
      <c r="E119" t="s">
        <v>4</v>
      </c>
      <c r="F119">
        <f>1130/32</f>
        <v>35.3125</v>
      </c>
      <c r="G119" t="s">
        <v>5</v>
      </c>
    </row>
    <row r="121" spans="1:7" x14ac:dyDescent="0.35">
      <c r="A121" t="s">
        <v>3035</v>
      </c>
      <c r="B121" t="s">
        <v>1964</v>
      </c>
      <c r="C121" t="s">
        <v>3036</v>
      </c>
      <c r="D121" t="s">
        <v>43</v>
      </c>
      <c r="E121" t="s">
        <v>4</v>
      </c>
      <c r="F121">
        <f>128/7.2</f>
        <v>17.777777777777779</v>
      </c>
      <c r="G121" t="s">
        <v>10</v>
      </c>
    </row>
    <row r="123" spans="1:7" x14ac:dyDescent="0.35">
      <c r="A123" t="s">
        <v>3055</v>
      </c>
      <c r="B123" t="s">
        <v>3056</v>
      </c>
      <c r="C123" t="s">
        <v>3057</v>
      </c>
      <c r="D123" t="s">
        <v>815</v>
      </c>
      <c r="E123" t="s">
        <v>4</v>
      </c>
      <c r="F123">
        <f>500/32</f>
        <v>15.625</v>
      </c>
      <c r="G123" t="s">
        <v>10</v>
      </c>
    </row>
    <row r="125" spans="1:7" x14ac:dyDescent="0.35">
      <c r="A125" t="s">
        <v>3101</v>
      </c>
      <c r="B125" t="s">
        <v>315</v>
      </c>
      <c r="C125" t="s">
        <v>3102</v>
      </c>
      <c r="D125" t="s">
        <v>122</v>
      </c>
      <c r="E125" t="s">
        <v>4</v>
      </c>
      <c r="F125">
        <f>280/16</f>
        <v>17.5</v>
      </c>
      <c r="G125" t="s">
        <v>10</v>
      </c>
    </row>
    <row r="127" spans="1:7" x14ac:dyDescent="0.35">
      <c r="A127" t="s">
        <v>3121</v>
      </c>
      <c r="B127" t="s">
        <v>734</v>
      </c>
      <c r="C127" t="s">
        <v>3122</v>
      </c>
      <c r="D127" t="s">
        <v>265</v>
      </c>
      <c r="E127" t="s">
        <v>4</v>
      </c>
      <c r="F127">
        <f>1912/45</f>
        <v>42.488888888888887</v>
      </c>
      <c r="G127" t="s">
        <v>5</v>
      </c>
    </row>
    <row r="129" spans="1:7" x14ac:dyDescent="0.35">
      <c r="A129" t="s">
        <v>3163</v>
      </c>
      <c r="B129" t="s">
        <v>3164</v>
      </c>
      <c r="C129" t="s">
        <v>3165</v>
      </c>
      <c r="D129" t="s">
        <v>3166</v>
      </c>
      <c r="E129" t="s">
        <v>4</v>
      </c>
      <c r="F129">
        <f>6150/177</f>
        <v>34.745762711864408</v>
      </c>
      <c r="G129" t="s">
        <v>5</v>
      </c>
    </row>
    <row r="131" spans="1:7" x14ac:dyDescent="0.35">
      <c r="A131" t="s">
        <v>3173</v>
      </c>
      <c r="B131" t="s">
        <v>2673</v>
      </c>
      <c r="C131" t="s">
        <v>3174</v>
      </c>
      <c r="D131" t="s">
        <v>3175</v>
      </c>
      <c r="E131" t="s">
        <v>4</v>
      </c>
      <c r="F131">
        <f>129/3.35</f>
        <v>38.507462686567166</v>
      </c>
      <c r="G131" t="s">
        <v>5</v>
      </c>
    </row>
    <row r="133" spans="1:7" x14ac:dyDescent="0.35">
      <c r="A133" t="s">
        <v>3193</v>
      </c>
      <c r="B133" t="s">
        <v>186</v>
      </c>
      <c r="C133" t="s">
        <v>3194</v>
      </c>
      <c r="D133" t="s">
        <v>2957</v>
      </c>
      <c r="E133" t="s">
        <v>4</v>
      </c>
      <c r="F133">
        <f>127/4.2</f>
        <v>30.238095238095237</v>
      </c>
      <c r="G133" t="s">
        <v>5</v>
      </c>
    </row>
    <row r="135" spans="1:7" x14ac:dyDescent="0.35">
      <c r="A135" t="s">
        <v>3242</v>
      </c>
      <c r="B135" t="s">
        <v>2446</v>
      </c>
      <c r="C135" t="s">
        <v>3243</v>
      </c>
      <c r="D135" t="s">
        <v>692</v>
      </c>
      <c r="E135" t="s">
        <v>4</v>
      </c>
      <c r="F135">
        <f>15220/280</f>
        <v>54.357142857142854</v>
      </c>
      <c r="G135" t="s">
        <v>5</v>
      </c>
    </row>
    <row r="137" spans="1:7" x14ac:dyDescent="0.35">
      <c r="A137" t="s">
        <v>3385</v>
      </c>
      <c r="B137" t="s">
        <v>675</v>
      </c>
      <c r="C137" t="s">
        <v>3254</v>
      </c>
      <c r="D137" t="s">
        <v>79</v>
      </c>
      <c r="E137" t="s">
        <v>4</v>
      </c>
      <c r="F137">
        <f>113/10</f>
        <v>11.3</v>
      </c>
      <c r="G137" t="s">
        <v>10</v>
      </c>
    </row>
    <row r="139" spans="1:7" x14ac:dyDescent="0.35">
      <c r="A139" t="s">
        <v>3411</v>
      </c>
      <c r="B139" t="s">
        <v>2436</v>
      </c>
      <c r="C139" t="s">
        <v>3412</v>
      </c>
      <c r="D139" t="s">
        <v>3413</v>
      </c>
      <c r="E139" t="s">
        <v>4</v>
      </c>
      <c r="F139">
        <f>145/2.9</f>
        <v>50</v>
      </c>
      <c r="G139" t="s">
        <v>5</v>
      </c>
    </row>
    <row r="141" spans="1:7" x14ac:dyDescent="0.35">
      <c r="A141" t="s">
        <v>3417</v>
      </c>
      <c r="B141" t="s">
        <v>333</v>
      </c>
      <c r="C141" t="s">
        <v>3418</v>
      </c>
      <c r="D141" t="s">
        <v>79</v>
      </c>
      <c r="E141" t="s">
        <v>4</v>
      </c>
      <c r="F141">
        <f>192/10</f>
        <v>19.2</v>
      </c>
      <c r="G141" t="s">
        <v>10</v>
      </c>
    </row>
    <row r="143" spans="1:7" x14ac:dyDescent="0.35">
      <c r="A143" t="s">
        <v>3426</v>
      </c>
      <c r="B143" t="s">
        <v>2394</v>
      </c>
      <c r="C143" t="s">
        <v>3427</v>
      </c>
      <c r="D143" t="s">
        <v>258</v>
      </c>
      <c r="E143" t="s">
        <v>4</v>
      </c>
      <c r="F143">
        <f>393/5</f>
        <v>78.599999999999994</v>
      </c>
      <c r="G143" t="s">
        <v>5</v>
      </c>
    </row>
    <row r="145" spans="1:7" x14ac:dyDescent="0.35">
      <c r="A145" t="s">
        <v>3479</v>
      </c>
      <c r="B145" t="s">
        <v>591</v>
      </c>
      <c r="C145" t="s">
        <v>3480</v>
      </c>
      <c r="D145" t="s">
        <v>819</v>
      </c>
      <c r="E145" t="s">
        <v>4</v>
      </c>
      <c r="F145">
        <f>525/29</f>
        <v>18.103448275862068</v>
      </c>
      <c r="G145" t="s">
        <v>10</v>
      </c>
    </row>
    <row r="147" spans="1:7" x14ac:dyDescent="0.35">
      <c r="A147" t="s">
        <v>3481</v>
      </c>
      <c r="B147" t="s">
        <v>3482</v>
      </c>
      <c r="C147" t="s">
        <v>228</v>
      </c>
      <c r="D147" t="s">
        <v>593</v>
      </c>
      <c r="E147" t="s">
        <v>4</v>
      </c>
      <c r="F147">
        <f>395/27</f>
        <v>14.62962962962963</v>
      </c>
      <c r="G147" t="s">
        <v>10</v>
      </c>
    </row>
    <row r="149" spans="1:7" x14ac:dyDescent="0.35">
      <c r="A149" t="s">
        <v>3488</v>
      </c>
      <c r="B149" t="s">
        <v>65</v>
      </c>
      <c r="C149" t="s">
        <v>3489</v>
      </c>
      <c r="D149" t="s">
        <v>35</v>
      </c>
      <c r="E149" t="s">
        <v>4</v>
      </c>
      <c r="F149">
        <f>152/6</f>
        <v>25.333333333333332</v>
      </c>
      <c r="G149" t="s">
        <v>5</v>
      </c>
    </row>
    <row r="151" spans="1:7" x14ac:dyDescent="0.35">
      <c r="A151" t="s">
        <v>3512</v>
      </c>
      <c r="B151" t="s">
        <v>132</v>
      </c>
      <c r="C151" t="s">
        <v>3513</v>
      </c>
      <c r="D151" t="s">
        <v>59</v>
      </c>
      <c r="E151" t="s">
        <v>4</v>
      </c>
      <c r="F151">
        <f>500/13</f>
        <v>38.46153846153846</v>
      </c>
      <c r="G151" t="s">
        <v>1255</v>
      </c>
    </row>
    <row r="153" spans="1:7" x14ac:dyDescent="0.35">
      <c r="A153" t="s">
        <v>3517</v>
      </c>
      <c r="B153" t="s">
        <v>3518</v>
      </c>
      <c r="C153" t="s">
        <v>3519</v>
      </c>
      <c r="D153" t="s">
        <v>122</v>
      </c>
      <c r="E153" t="s">
        <v>4</v>
      </c>
      <c r="F153">
        <f>286/16</f>
        <v>17.875</v>
      </c>
      <c r="G153" t="s">
        <v>10</v>
      </c>
    </row>
    <row r="155" spans="1:7" x14ac:dyDescent="0.35">
      <c r="A155" t="s">
        <v>3563</v>
      </c>
      <c r="B155" t="s">
        <v>3564</v>
      </c>
      <c r="C155" t="s">
        <v>3565</v>
      </c>
      <c r="D155" t="s">
        <v>294</v>
      </c>
      <c r="E155" t="s">
        <v>4</v>
      </c>
      <c r="F155">
        <f>910/42</f>
        <v>21.666666666666668</v>
      </c>
      <c r="G155" t="s">
        <v>10</v>
      </c>
    </row>
    <row r="157" spans="1:7" x14ac:dyDescent="0.35">
      <c r="A157" t="s">
        <v>3573</v>
      </c>
      <c r="B157" t="s">
        <v>1777</v>
      </c>
      <c r="C157" t="s">
        <v>2377</v>
      </c>
      <c r="D157" t="s">
        <v>759</v>
      </c>
      <c r="E157" t="s">
        <v>4</v>
      </c>
      <c r="F157">
        <f>2450/94</f>
        <v>26.063829787234042</v>
      </c>
      <c r="G157" t="s">
        <v>10</v>
      </c>
    </row>
    <row r="159" spans="1:7" x14ac:dyDescent="0.35">
      <c r="A159" t="s">
        <v>3583</v>
      </c>
      <c r="B159" t="s">
        <v>1907</v>
      </c>
      <c r="C159" t="s">
        <v>3584</v>
      </c>
      <c r="D159" t="s">
        <v>280</v>
      </c>
      <c r="E159" t="s">
        <v>4</v>
      </c>
      <c r="F159">
        <f>582/20</f>
        <v>29.1</v>
      </c>
      <c r="G159" t="s">
        <v>10</v>
      </c>
    </row>
    <row r="161" spans="1:7" x14ac:dyDescent="0.35">
      <c r="A161" t="s">
        <v>3667</v>
      </c>
      <c r="B161" t="s">
        <v>1521</v>
      </c>
      <c r="C161" t="s">
        <v>867</v>
      </c>
      <c r="D161" t="s">
        <v>258</v>
      </c>
      <c r="E161" t="s">
        <v>4</v>
      </c>
      <c r="F161">
        <f>117/5</f>
        <v>23.4</v>
      </c>
      <c r="G161" t="s">
        <v>5</v>
      </c>
    </row>
    <row r="163" spans="1:7" x14ac:dyDescent="0.35">
      <c r="A163" t="s">
        <v>3692</v>
      </c>
      <c r="B163" t="s">
        <v>3693</v>
      </c>
      <c r="C163" t="s">
        <v>806</v>
      </c>
      <c r="D163" t="s">
        <v>613</v>
      </c>
      <c r="E163" t="s">
        <v>4</v>
      </c>
      <c r="F163">
        <f>1800/40</f>
        <v>45</v>
      </c>
      <c r="G163" t="s">
        <v>5</v>
      </c>
    </row>
    <row r="165" spans="1:7" x14ac:dyDescent="0.35">
      <c r="A165" t="s">
        <v>3743</v>
      </c>
      <c r="B165" t="s">
        <v>1110</v>
      </c>
      <c r="C165" t="s">
        <v>218</v>
      </c>
      <c r="D165" t="s">
        <v>219</v>
      </c>
      <c r="E165" t="s">
        <v>4</v>
      </c>
      <c r="F165">
        <f>92/5.5</f>
        <v>16.727272727272727</v>
      </c>
      <c r="G165" t="s">
        <v>10</v>
      </c>
    </row>
    <row r="167" spans="1:7" x14ac:dyDescent="0.35">
      <c r="A167" t="s">
        <v>3745</v>
      </c>
      <c r="B167" t="s">
        <v>3746</v>
      </c>
      <c r="C167" t="s">
        <v>3747</v>
      </c>
      <c r="D167" t="s">
        <v>229</v>
      </c>
      <c r="E167" t="s">
        <v>4</v>
      </c>
      <c r="F167">
        <f>691/31</f>
        <v>22.29032258064516</v>
      </c>
      <c r="G167" t="s">
        <v>10</v>
      </c>
    </row>
    <row r="169" spans="1:7" x14ac:dyDescent="0.35">
      <c r="A169" t="s">
        <v>3785</v>
      </c>
      <c r="B169" t="s">
        <v>347</v>
      </c>
      <c r="C169" t="s">
        <v>2050</v>
      </c>
      <c r="D169" t="s">
        <v>134</v>
      </c>
      <c r="E169" t="s">
        <v>4</v>
      </c>
      <c r="F169">
        <f>655/12</f>
        <v>54.583333333333336</v>
      </c>
      <c r="G169" t="s">
        <v>5</v>
      </c>
    </row>
    <row r="171" spans="1:7" x14ac:dyDescent="0.35">
      <c r="A171" t="s">
        <v>3791</v>
      </c>
      <c r="B171" t="s">
        <v>3792</v>
      </c>
      <c r="C171" t="s">
        <v>3793</v>
      </c>
      <c r="D171" t="s">
        <v>596</v>
      </c>
      <c r="E171" t="s">
        <v>4</v>
      </c>
      <c r="F171">
        <f>925/55</f>
        <v>16.818181818181817</v>
      </c>
      <c r="G171" t="s">
        <v>10</v>
      </c>
    </row>
    <row r="173" spans="1:7" x14ac:dyDescent="0.35">
      <c r="A173" t="s">
        <v>3798</v>
      </c>
      <c r="B173" t="s">
        <v>2665</v>
      </c>
      <c r="C173" t="s">
        <v>3799</v>
      </c>
      <c r="D173" t="s">
        <v>178</v>
      </c>
      <c r="E173" t="s">
        <v>4</v>
      </c>
      <c r="F173">
        <f>658/15</f>
        <v>43.866666666666667</v>
      </c>
      <c r="G173" t="s">
        <v>5</v>
      </c>
    </row>
    <row r="175" spans="1:7" x14ac:dyDescent="0.35">
      <c r="A175" t="s">
        <v>3804</v>
      </c>
      <c r="B175" t="s">
        <v>2643</v>
      </c>
      <c r="C175" t="s">
        <v>3805</v>
      </c>
      <c r="D175" t="s">
        <v>3806</v>
      </c>
      <c r="E175" t="s">
        <v>4</v>
      </c>
      <c r="F175">
        <f>3100/180</f>
        <v>17.222222222222221</v>
      </c>
      <c r="G175" t="s">
        <v>10</v>
      </c>
    </row>
    <row r="177" spans="1:7" x14ac:dyDescent="0.35">
      <c r="A177" t="s">
        <v>3820</v>
      </c>
      <c r="B177" t="s">
        <v>3484</v>
      </c>
      <c r="C177" t="s">
        <v>753</v>
      </c>
      <c r="D177" t="s">
        <v>463</v>
      </c>
      <c r="E177" t="s">
        <v>4</v>
      </c>
      <c r="F177">
        <f>500/24</f>
        <v>20.833333333333332</v>
      </c>
      <c r="G177" t="s">
        <v>10</v>
      </c>
    </row>
    <row r="179" spans="1:7" x14ac:dyDescent="0.35">
      <c r="A179" t="s">
        <v>3821</v>
      </c>
      <c r="B179" t="s">
        <v>271</v>
      </c>
      <c r="C179" t="s">
        <v>3391</v>
      </c>
      <c r="D179" t="s">
        <v>79</v>
      </c>
      <c r="E179" t="s">
        <v>4</v>
      </c>
      <c r="F179">
        <f>556/10</f>
        <v>55.6</v>
      </c>
      <c r="G179" t="s">
        <v>5</v>
      </c>
    </row>
    <row r="181" spans="1:7" x14ac:dyDescent="0.35">
      <c r="A181" t="s">
        <v>3823</v>
      </c>
      <c r="B181" t="s">
        <v>545</v>
      </c>
      <c r="C181" t="s">
        <v>1607</v>
      </c>
      <c r="D181" t="s">
        <v>1167</v>
      </c>
      <c r="E181" t="s">
        <v>4</v>
      </c>
      <c r="F181">
        <f>2558/63</f>
        <v>40.603174603174601</v>
      </c>
      <c r="G181" t="s">
        <v>5</v>
      </c>
    </row>
    <row r="183" spans="1:7" x14ac:dyDescent="0.35">
      <c r="A183" t="s">
        <v>3901</v>
      </c>
      <c r="B183" t="s">
        <v>29</v>
      </c>
      <c r="C183" t="s">
        <v>2924</v>
      </c>
      <c r="D183" t="s">
        <v>144</v>
      </c>
      <c r="E183" t="s">
        <v>4</v>
      </c>
      <c r="F183">
        <f>1450/30</f>
        <v>48.333333333333336</v>
      </c>
      <c r="G183" t="s">
        <v>5</v>
      </c>
    </row>
    <row r="185" spans="1:7" x14ac:dyDescent="0.35">
      <c r="A185" t="s">
        <v>3940</v>
      </c>
      <c r="B185" t="s">
        <v>3941</v>
      </c>
      <c r="C185" t="s">
        <v>1389</v>
      </c>
      <c r="D185" t="s">
        <v>772</v>
      </c>
      <c r="E185" t="s">
        <v>4</v>
      </c>
      <c r="F185">
        <f>890/44</f>
        <v>20.227272727272727</v>
      </c>
      <c r="G185" t="s">
        <v>5</v>
      </c>
    </row>
    <row r="187" spans="1:7" x14ac:dyDescent="0.35">
      <c r="A187" t="s">
        <v>4025</v>
      </c>
      <c r="B187" t="s">
        <v>1989</v>
      </c>
      <c r="C187" t="s">
        <v>4026</v>
      </c>
      <c r="D187" t="s">
        <v>258</v>
      </c>
      <c r="E187" t="s">
        <v>4</v>
      </c>
      <c r="F187">
        <f>148/5</f>
        <v>29.6</v>
      </c>
      <c r="G187" t="s">
        <v>5</v>
      </c>
    </row>
    <row r="189" spans="1:7" x14ac:dyDescent="0.35">
      <c r="A189" t="s">
        <v>4081</v>
      </c>
      <c r="B189" t="s">
        <v>65</v>
      </c>
      <c r="C189" t="s">
        <v>4082</v>
      </c>
      <c r="D189" t="s">
        <v>93</v>
      </c>
      <c r="E189" t="s">
        <v>4</v>
      </c>
      <c r="F189">
        <f>95/4.5</f>
        <v>21.111111111111111</v>
      </c>
      <c r="G189" t="s">
        <v>5</v>
      </c>
    </row>
    <row r="191" spans="1:7" x14ac:dyDescent="0.35">
      <c r="A191" t="s">
        <v>4146</v>
      </c>
      <c r="B191" t="s">
        <v>2494</v>
      </c>
      <c r="C191" t="s">
        <v>1020</v>
      </c>
      <c r="D191" t="s">
        <v>178</v>
      </c>
      <c r="E191" t="s">
        <v>4</v>
      </c>
      <c r="F191">
        <f>458/15</f>
        <v>30.533333333333335</v>
      </c>
      <c r="G191" t="s">
        <v>5</v>
      </c>
    </row>
    <row r="193" spans="1:7" x14ac:dyDescent="0.35">
      <c r="A193" t="s">
        <v>4165</v>
      </c>
      <c r="B193" t="s">
        <v>1845</v>
      </c>
      <c r="C193" t="s">
        <v>4166</v>
      </c>
      <c r="D193" t="s">
        <v>43</v>
      </c>
      <c r="E193" t="s">
        <v>4</v>
      </c>
      <c r="F193">
        <f>166/7.2</f>
        <v>23.055555555555554</v>
      </c>
      <c r="G193" t="s">
        <v>10</v>
      </c>
    </row>
    <row r="195" spans="1:7" x14ac:dyDescent="0.35">
      <c r="A195" t="s">
        <v>4186</v>
      </c>
      <c r="B195" t="s">
        <v>4187</v>
      </c>
      <c r="C195" t="s">
        <v>1379</v>
      </c>
      <c r="D195" t="s">
        <v>178</v>
      </c>
      <c r="E195" t="s">
        <v>4</v>
      </c>
      <c r="F195">
        <f>82/15</f>
        <v>5.4666666666666668</v>
      </c>
      <c r="G195" t="s">
        <v>10</v>
      </c>
    </row>
    <row r="197" spans="1:7" x14ac:dyDescent="0.35">
      <c r="A197" t="s">
        <v>4192</v>
      </c>
      <c r="B197" t="s">
        <v>2549</v>
      </c>
      <c r="C197" t="s">
        <v>4193</v>
      </c>
      <c r="D197" t="s">
        <v>413</v>
      </c>
      <c r="E197" t="s">
        <v>4</v>
      </c>
      <c r="F197">
        <f>1630/46</f>
        <v>35.434782608695649</v>
      </c>
      <c r="G197" t="s">
        <v>597</v>
      </c>
    </row>
    <row r="198" spans="1:7" x14ac:dyDescent="0.35">
      <c r="D198" t="s">
        <v>4194</v>
      </c>
      <c r="F198">
        <f>1630/61</f>
        <v>26.721311475409838</v>
      </c>
      <c r="G198" t="s">
        <v>10</v>
      </c>
    </row>
    <row r="200" spans="1:7" x14ac:dyDescent="0.35">
      <c r="A200" t="s">
        <v>4209</v>
      </c>
      <c r="B200" t="s">
        <v>315</v>
      </c>
      <c r="C200" t="s">
        <v>4210</v>
      </c>
      <c r="D200" t="s">
        <v>59</v>
      </c>
      <c r="E200" t="s">
        <v>4</v>
      </c>
      <c r="F200">
        <f>90/13</f>
        <v>6.9230769230769234</v>
      </c>
      <c r="G200" t="s">
        <v>10</v>
      </c>
    </row>
    <row r="202" spans="1:7" x14ac:dyDescent="0.35">
      <c r="A202" t="s">
        <v>4262</v>
      </c>
      <c r="B202" t="s">
        <v>992</v>
      </c>
      <c r="C202" t="s">
        <v>2594</v>
      </c>
      <c r="D202" t="s">
        <v>593</v>
      </c>
      <c r="E202" t="s">
        <v>4</v>
      </c>
      <c r="F202">
        <f>574/27</f>
        <v>21.25925925925926</v>
      </c>
      <c r="G20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17C01-0214-4CD0-9ED6-8EE0BF19E915}">
  <dimension ref="A1:G39"/>
  <sheetViews>
    <sheetView topLeftCell="A12" workbookViewId="0">
      <selection activeCell="A41" sqref="A41"/>
    </sheetView>
  </sheetViews>
  <sheetFormatPr defaultRowHeight="14.5" x14ac:dyDescent="0.35"/>
  <sheetData>
    <row r="1" spans="1:7" x14ac:dyDescent="0.35">
      <c r="A1" s="2" t="s">
        <v>301</v>
      </c>
      <c r="B1" s="2" t="s">
        <v>302</v>
      </c>
      <c r="C1" s="2" t="s">
        <v>303</v>
      </c>
      <c r="D1" s="2" t="s">
        <v>304</v>
      </c>
      <c r="E1" s="2" t="s">
        <v>4</v>
      </c>
      <c r="F1" s="2">
        <f>7000/165</f>
        <v>42.424242424242422</v>
      </c>
      <c r="G1" s="2" t="s">
        <v>305</v>
      </c>
    </row>
    <row r="3" spans="1:7" x14ac:dyDescent="0.35">
      <c r="A3" t="s">
        <v>598</v>
      </c>
      <c r="B3" t="s">
        <v>599</v>
      </c>
      <c r="C3" t="s">
        <v>600</v>
      </c>
      <c r="D3" t="s">
        <v>122</v>
      </c>
      <c r="E3" t="s">
        <v>4</v>
      </c>
      <c r="F3">
        <f>475/16</f>
        <v>29.6875</v>
      </c>
      <c r="G3" t="s">
        <v>5</v>
      </c>
    </row>
    <row r="5" spans="1:7" x14ac:dyDescent="0.35">
      <c r="A5" s="2" t="s">
        <v>661</v>
      </c>
      <c r="B5" s="2" t="s">
        <v>662</v>
      </c>
      <c r="C5" s="2" t="s">
        <v>663</v>
      </c>
      <c r="D5" s="2" t="s">
        <v>573</v>
      </c>
      <c r="E5" s="2" t="s">
        <v>4</v>
      </c>
      <c r="F5" s="2">
        <f>3939/90</f>
        <v>43.766666666666666</v>
      </c>
      <c r="G5" s="2" t="s">
        <v>5</v>
      </c>
    </row>
    <row r="7" spans="1:7" x14ac:dyDescent="0.35">
      <c r="A7" t="s">
        <v>991</v>
      </c>
      <c r="B7" t="s">
        <v>992</v>
      </c>
      <c r="C7" t="s">
        <v>993</v>
      </c>
      <c r="D7" t="s">
        <v>309</v>
      </c>
      <c r="E7" t="s">
        <v>4</v>
      </c>
      <c r="F7">
        <f>295/17</f>
        <v>17.352941176470587</v>
      </c>
      <c r="G7" t="s">
        <v>10</v>
      </c>
    </row>
    <row r="9" spans="1:7" x14ac:dyDescent="0.35">
      <c r="A9" t="s">
        <v>1214</v>
      </c>
      <c r="B9" t="s">
        <v>703</v>
      </c>
      <c r="C9" t="s">
        <v>1215</v>
      </c>
      <c r="D9" t="s">
        <v>280</v>
      </c>
      <c r="E9" t="s">
        <v>4</v>
      </c>
      <c r="F9">
        <f>287/20</f>
        <v>14.35</v>
      </c>
      <c r="G9" t="s">
        <v>10</v>
      </c>
    </row>
    <row r="11" spans="1:7" x14ac:dyDescent="0.35">
      <c r="A11" t="s">
        <v>1391</v>
      </c>
      <c r="B11" t="s">
        <v>1392</v>
      </c>
      <c r="C11" t="s">
        <v>1393</v>
      </c>
      <c r="D11" t="s">
        <v>1176</v>
      </c>
      <c r="E11" t="s">
        <v>4</v>
      </c>
      <c r="F11">
        <f>7600/240</f>
        <v>31.666666666666668</v>
      </c>
      <c r="G11" t="s">
        <v>5</v>
      </c>
    </row>
    <row r="13" spans="1:7" x14ac:dyDescent="0.35">
      <c r="A13" t="s">
        <v>1482</v>
      </c>
      <c r="B13" t="s">
        <v>1384</v>
      </c>
      <c r="C13" t="s">
        <v>243</v>
      </c>
      <c r="D13" t="s">
        <v>1483</v>
      </c>
      <c r="E13" t="s">
        <v>4</v>
      </c>
      <c r="F13">
        <f>136/3.4</f>
        <v>40</v>
      </c>
      <c r="G13" t="s">
        <v>5</v>
      </c>
    </row>
    <row r="15" spans="1:7" x14ac:dyDescent="0.35">
      <c r="A15" t="s">
        <v>1495</v>
      </c>
      <c r="B15" t="s">
        <v>1496</v>
      </c>
      <c r="C15" t="s">
        <v>1497</v>
      </c>
      <c r="D15" t="s">
        <v>366</v>
      </c>
      <c r="E15" t="s">
        <v>4</v>
      </c>
      <c r="F15">
        <f>91/14</f>
        <v>6.5</v>
      </c>
      <c r="G15" t="s">
        <v>10</v>
      </c>
    </row>
    <row r="17" spans="1:7" x14ac:dyDescent="0.35">
      <c r="A17" t="s">
        <v>1804</v>
      </c>
      <c r="B17" t="s">
        <v>1805</v>
      </c>
      <c r="C17" t="s">
        <v>1806</v>
      </c>
      <c r="D17" t="s">
        <v>613</v>
      </c>
      <c r="E17" t="s">
        <v>4</v>
      </c>
      <c r="F17">
        <f>1374/40</f>
        <v>34.35</v>
      </c>
      <c r="G17" t="s">
        <v>5</v>
      </c>
    </row>
    <row r="19" spans="1:7" x14ac:dyDescent="0.35">
      <c r="A19" t="s">
        <v>1887</v>
      </c>
      <c r="B19" t="s">
        <v>282</v>
      </c>
      <c r="C19" t="s">
        <v>1888</v>
      </c>
      <c r="D19" t="s">
        <v>269</v>
      </c>
      <c r="E19" t="s">
        <v>4</v>
      </c>
      <c r="F19">
        <f>29/3</f>
        <v>9.6666666666666661</v>
      </c>
      <c r="G19" t="s">
        <v>10</v>
      </c>
    </row>
    <row r="21" spans="1:7" x14ac:dyDescent="0.35">
      <c r="A21" t="s">
        <v>2521</v>
      </c>
      <c r="B21" t="s">
        <v>2522</v>
      </c>
      <c r="C21" t="s">
        <v>199</v>
      </c>
      <c r="D21" t="s">
        <v>413</v>
      </c>
      <c r="E21" t="s">
        <v>4</v>
      </c>
      <c r="F21">
        <f>758/46</f>
        <v>16.478260869565219</v>
      </c>
      <c r="G21" t="s">
        <v>10</v>
      </c>
    </row>
    <row r="23" spans="1:7" x14ac:dyDescent="0.35">
      <c r="A23" t="s">
        <v>2562</v>
      </c>
      <c r="B23" t="s">
        <v>29</v>
      </c>
      <c r="C23" t="s">
        <v>50</v>
      </c>
      <c r="D23" t="s">
        <v>1276</v>
      </c>
      <c r="E23" t="s">
        <v>4</v>
      </c>
      <c r="F23">
        <f>1244/150</f>
        <v>8.293333333333333</v>
      </c>
      <c r="G23" t="s">
        <v>10</v>
      </c>
    </row>
    <row r="25" spans="1:7" x14ac:dyDescent="0.35">
      <c r="A25" t="s">
        <v>2568</v>
      </c>
      <c r="B25" t="s">
        <v>2506</v>
      </c>
      <c r="C25" t="s">
        <v>1064</v>
      </c>
      <c r="D25" t="s">
        <v>971</v>
      </c>
      <c r="E25" t="s">
        <v>4</v>
      </c>
      <c r="F25">
        <f>296/10.5</f>
        <v>28.19047619047619</v>
      </c>
      <c r="G25" t="s">
        <v>10</v>
      </c>
    </row>
    <row r="27" spans="1:7" x14ac:dyDescent="0.35">
      <c r="A27" t="s">
        <v>2907</v>
      </c>
      <c r="B27" t="s">
        <v>2908</v>
      </c>
      <c r="C27" t="s">
        <v>2909</v>
      </c>
      <c r="D27" t="s">
        <v>2516</v>
      </c>
      <c r="E27" t="s">
        <v>4</v>
      </c>
      <c r="F27">
        <f>49/2.8</f>
        <v>17.5</v>
      </c>
      <c r="G27" t="s">
        <v>10</v>
      </c>
    </row>
    <row r="29" spans="1:7" x14ac:dyDescent="0.35">
      <c r="A29" t="s">
        <v>3151</v>
      </c>
      <c r="B29" t="s">
        <v>3152</v>
      </c>
      <c r="C29" t="s">
        <v>1389</v>
      </c>
      <c r="D29" t="s">
        <v>200</v>
      </c>
      <c r="E29" t="s">
        <v>4</v>
      </c>
      <c r="F29">
        <f>826/43</f>
        <v>19.209302325581394</v>
      </c>
      <c r="G29" t="s">
        <v>10</v>
      </c>
    </row>
    <row r="31" spans="1:7" x14ac:dyDescent="0.35">
      <c r="A31" t="s">
        <v>3639</v>
      </c>
      <c r="B31" t="s">
        <v>916</v>
      </c>
      <c r="C31" t="s">
        <v>3640</v>
      </c>
      <c r="D31" t="s">
        <v>3237</v>
      </c>
      <c r="E31" t="s">
        <v>4</v>
      </c>
      <c r="F31">
        <f>195/3.9</f>
        <v>50</v>
      </c>
      <c r="G31" t="s">
        <v>5</v>
      </c>
    </row>
    <row r="33" spans="1:7" x14ac:dyDescent="0.35">
      <c r="A33" t="s">
        <v>3847</v>
      </c>
      <c r="B33" t="s">
        <v>3746</v>
      </c>
      <c r="C33" t="s">
        <v>3029</v>
      </c>
      <c r="D33" t="s">
        <v>280</v>
      </c>
      <c r="E33" t="s">
        <v>4</v>
      </c>
      <c r="F33">
        <f>590/20</f>
        <v>29.5</v>
      </c>
      <c r="G33" t="s">
        <v>5</v>
      </c>
    </row>
    <row r="35" spans="1:7" x14ac:dyDescent="0.35">
      <c r="A35" t="s">
        <v>3919</v>
      </c>
      <c r="B35" t="s">
        <v>874</v>
      </c>
      <c r="C35" t="s">
        <v>1663</v>
      </c>
      <c r="D35" t="s">
        <v>122</v>
      </c>
      <c r="E35" t="s">
        <v>4</v>
      </c>
      <c r="F35">
        <f>42/16</f>
        <v>2.625</v>
      </c>
      <c r="G35" t="s">
        <v>10</v>
      </c>
    </row>
    <row r="37" spans="1:7" x14ac:dyDescent="0.35">
      <c r="A37" t="s">
        <v>3927</v>
      </c>
      <c r="B37" t="s">
        <v>3928</v>
      </c>
      <c r="C37" t="s">
        <v>3549</v>
      </c>
      <c r="D37" t="s">
        <v>3929</v>
      </c>
      <c r="E37" t="s">
        <v>4</v>
      </c>
      <c r="F37">
        <f>132/2.85</f>
        <v>46.315789473684212</v>
      </c>
      <c r="G37" t="s">
        <v>5</v>
      </c>
    </row>
    <row r="39" spans="1:7" x14ac:dyDescent="0.35">
      <c r="A39" t="s">
        <v>4079</v>
      </c>
      <c r="B39" t="s">
        <v>1869</v>
      </c>
      <c r="C39" t="s">
        <v>4080</v>
      </c>
      <c r="D39" t="s">
        <v>1457</v>
      </c>
      <c r="E39" t="s">
        <v>4</v>
      </c>
      <c r="F39">
        <f>177/13.5</f>
        <v>13.111111111111111</v>
      </c>
      <c r="G39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C8421-2B57-4815-B7D6-4165A5BE3CB1}">
  <dimension ref="A1:H98"/>
  <sheetViews>
    <sheetView topLeftCell="A71" workbookViewId="0">
      <selection activeCell="A100" sqref="A100"/>
    </sheetView>
  </sheetViews>
  <sheetFormatPr defaultRowHeight="14.5" x14ac:dyDescent="0.35"/>
  <sheetData>
    <row r="1" spans="1:7" x14ac:dyDescent="0.35">
      <c r="A1" t="s">
        <v>68</v>
      </c>
      <c r="B1" t="s">
        <v>69</v>
      </c>
      <c r="C1" t="s">
        <v>70</v>
      </c>
      <c r="D1" t="s">
        <v>71</v>
      </c>
      <c r="E1" t="s">
        <v>4</v>
      </c>
      <c r="F1">
        <f>3130/48</f>
        <v>65.208333333333329</v>
      </c>
      <c r="G1" t="s">
        <v>5</v>
      </c>
    </row>
    <row r="3" spans="1:7" x14ac:dyDescent="0.35">
      <c r="A3" t="s">
        <v>120</v>
      </c>
      <c r="B3" t="s">
        <v>73</v>
      </c>
      <c r="C3" t="s">
        <v>121</v>
      </c>
      <c r="D3" t="s">
        <v>122</v>
      </c>
      <c r="E3" t="s">
        <v>4</v>
      </c>
      <c r="F3">
        <f>355/16</f>
        <v>22.1875</v>
      </c>
      <c r="G3" t="s">
        <v>10</v>
      </c>
    </row>
    <row r="5" spans="1:7" x14ac:dyDescent="0.35">
      <c r="A5" s="2" t="s">
        <v>146</v>
      </c>
      <c r="B5" s="2" t="s">
        <v>147</v>
      </c>
      <c r="C5" s="2" t="s">
        <v>148</v>
      </c>
      <c r="D5" s="2" t="s">
        <v>149</v>
      </c>
      <c r="E5" s="2" t="s">
        <v>4</v>
      </c>
      <c r="F5" s="2">
        <f>2736/71.5</f>
        <v>38.265734265734267</v>
      </c>
      <c r="G5" s="2" t="s">
        <v>5</v>
      </c>
    </row>
    <row r="7" spans="1:7" x14ac:dyDescent="0.35">
      <c r="A7" t="s">
        <v>150</v>
      </c>
      <c r="B7" t="s">
        <v>151</v>
      </c>
      <c r="C7" t="s">
        <v>152</v>
      </c>
      <c r="D7" t="s">
        <v>153</v>
      </c>
      <c r="E7" t="s">
        <v>4</v>
      </c>
      <c r="F7">
        <f>633/26</f>
        <v>24.346153846153847</v>
      </c>
      <c r="G7" t="s">
        <v>10</v>
      </c>
    </row>
    <row r="9" spans="1:7" x14ac:dyDescent="0.35">
      <c r="A9" s="2" t="s">
        <v>158</v>
      </c>
      <c r="B9" s="2" t="s">
        <v>53</v>
      </c>
      <c r="C9" s="2" t="s">
        <v>159</v>
      </c>
      <c r="D9" s="2" t="s">
        <v>160</v>
      </c>
      <c r="E9" s="2" t="s">
        <v>4</v>
      </c>
      <c r="F9" s="2">
        <f>165/3.2</f>
        <v>51.5625</v>
      </c>
      <c r="G9" s="2" t="s">
        <v>5</v>
      </c>
    </row>
    <row r="10" spans="1:7" x14ac:dyDescent="0.35">
      <c r="A10" s="2"/>
      <c r="B10" s="2"/>
      <c r="C10" s="2"/>
      <c r="D10" s="2"/>
      <c r="E10" s="2"/>
      <c r="F10" s="2"/>
      <c r="G10" s="2"/>
    </row>
    <row r="11" spans="1:7" x14ac:dyDescent="0.35">
      <c r="A11" s="2" t="s">
        <v>167</v>
      </c>
      <c r="B11" s="2" t="s">
        <v>168</v>
      </c>
      <c r="C11" s="2" t="s">
        <v>169</v>
      </c>
      <c r="D11" s="2" t="s">
        <v>170</v>
      </c>
      <c r="E11" s="2" t="s">
        <v>4</v>
      </c>
      <c r="F11" s="2">
        <f>2560/70</f>
        <v>36.571428571428569</v>
      </c>
      <c r="G11" s="2" t="s">
        <v>5</v>
      </c>
    </row>
    <row r="12" spans="1:7" x14ac:dyDescent="0.35">
      <c r="A12" s="2"/>
      <c r="B12" s="2"/>
      <c r="C12" s="2"/>
      <c r="D12" s="2"/>
      <c r="E12" s="2"/>
      <c r="F12" s="2"/>
      <c r="G12" s="2"/>
    </row>
    <row r="13" spans="1:7" x14ac:dyDescent="0.35">
      <c r="A13" s="2" t="s">
        <v>171</v>
      </c>
      <c r="B13" s="2" t="s">
        <v>172</v>
      </c>
      <c r="C13" s="2" t="s">
        <v>173</v>
      </c>
      <c r="D13" s="2" t="s">
        <v>174</v>
      </c>
      <c r="E13" s="2" t="s">
        <v>4</v>
      </c>
      <c r="F13" s="2">
        <f>38/1.75</f>
        <v>21.714285714285715</v>
      </c>
      <c r="G13" s="2" t="s">
        <v>5</v>
      </c>
    </row>
    <row r="15" spans="1:7" x14ac:dyDescent="0.35">
      <c r="A15" t="s">
        <v>193</v>
      </c>
      <c r="B15" t="s">
        <v>194</v>
      </c>
      <c r="C15" t="s">
        <v>195</v>
      </c>
      <c r="D15" t="s">
        <v>196</v>
      </c>
      <c r="E15" t="s">
        <v>4</v>
      </c>
      <c r="F15">
        <f>135/9.5</f>
        <v>14.210526315789474</v>
      </c>
      <c r="G15" t="s">
        <v>10</v>
      </c>
    </row>
    <row r="17" spans="1:8" x14ac:dyDescent="0.35">
      <c r="A17" s="2" t="s">
        <v>226</v>
      </c>
      <c r="B17" s="2" t="s">
        <v>227</v>
      </c>
      <c r="C17" s="2" t="s">
        <v>228</v>
      </c>
      <c r="D17" s="2" t="s">
        <v>229</v>
      </c>
      <c r="E17" s="2" t="s">
        <v>4</v>
      </c>
      <c r="F17" s="2">
        <f>1150/31</f>
        <v>37.096774193548384</v>
      </c>
      <c r="G17" s="2" t="s">
        <v>5</v>
      </c>
      <c r="H17" s="2"/>
    </row>
    <row r="18" spans="1:8" x14ac:dyDescent="0.35">
      <c r="A18" s="2"/>
      <c r="B18" s="2"/>
      <c r="C18" s="2"/>
      <c r="D18" s="2"/>
      <c r="E18" s="2"/>
      <c r="F18" s="2"/>
      <c r="G18" s="2"/>
      <c r="H18" s="2"/>
    </row>
    <row r="19" spans="1:8" x14ac:dyDescent="0.35">
      <c r="A19" s="2" t="s">
        <v>248</v>
      </c>
      <c r="B19" s="2" t="s">
        <v>249</v>
      </c>
      <c r="C19" s="2" t="s">
        <v>250</v>
      </c>
      <c r="D19" s="2" t="s">
        <v>130</v>
      </c>
      <c r="E19" s="2" t="s">
        <v>4</v>
      </c>
      <c r="F19" s="2">
        <f>2400/100</f>
        <v>24</v>
      </c>
      <c r="G19" s="2" t="s">
        <v>5</v>
      </c>
      <c r="H19" s="2"/>
    </row>
    <row r="21" spans="1:8" x14ac:dyDescent="0.35">
      <c r="A21" t="s">
        <v>270</v>
      </c>
      <c r="B21" t="s">
        <v>271</v>
      </c>
      <c r="C21" t="s">
        <v>272</v>
      </c>
      <c r="D21" t="s">
        <v>79</v>
      </c>
      <c r="E21" t="s">
        <v>4</v>
      </c>
      <c r="F21">
        <f>98/10</f>
        <v>9.8000000000000007</v>
      </c>
      <c r="G21" t="s">
        <v>10</v>
      </c>
    </row>
    <row r="23" spans="1:8" x14ac:dyDescent="0.35">
      <c r="A23" s="2" t="s">
        <v>346</v>
      </c>
      <c r="B23" s="2" t="s">
        <v>347</v>
      </c>
      <c r="C23" s="2" t="s">
        <v>348</v>
      </c>
      <c r="D23" s="2" t="s">
        <v>269</v>
      </c>
      <c r="E23" s="2" t="s">
        <v>4</v>
      </c>
      <c r="F23" s="2">
        <f>73/3</f>
        <v>24.333333333333332</v>
      </c>
      <c r="G23" s="2" t="s">
        <v>5</v>
      </c>
    </row>
    <row r="25" spans="1:8" x14ac:dyDescent="0.35">
      <c r="A25" t="s">
        <v>384</v>
      </c>
      <c r="B25" t="s">
        <v>385</v>
      </c>
      <c r="C25" t="s">
        <v>386</v>
      </c>
      <c r="D25" t="s">
        <v>387</v>
      </c>
      <c r="E25" t="s">
        <v>4</v>
      </c>
      <c r="F25">
        <f>13/7</f>
        <v>1.8571428571428572</v>
      </c>
      <c r="G25" t="s">
        <v>10</v>
      </c>
    </row>
    <row r="27" spans="1:8" x14ac:dyDescent="0.35">
      <c r="A27" t="s">
        <v>555</v>
      </c>
      <c r="B27" t="s">
        <v>556</v>
      </c>
      <c r="C27" t="s">
        <v>557</v>
      </c>
      <c r="D27" t="s">
        <v>192</v>
      </c>
      <c r="E27" t="s">
        <v>4</v>
      </c>
      <c r="F27">
        <f>283/11</f>
        <v>25.727272727272727</v>
      </c>
      <c r="G27" t="s">
        <v>5</v>
      </c>
    </row>
    <row r="29" spans="1:8" x14ac:dyDescent="0.35">
      <c r="A29" t="s">
        <v>561</v>
      </c>
      <c r="B29" t="s">
        <v>562</v>
      </c>
      <c r="C29" t="s">
        <v>563</v>
      </c>
      <c r="D29" t="s">
        <v>79</v>
      </c>
      <c r="E29" t="s">
        <v>4</v>
      </c>
      <c r="F29">
        <f>267/10</f>
        <v>26.7</v>
      </c>
      <c r="G29" t="s">
        <v>5</v>
      </c>
    </row>
    <row r="31" spans="1:8" x14ac:dyDescent="0.35">
      <c r="A31" t="s">
        <v>658</v>
      </c>
      <c r="B31" t="s">
        <v>659</v>
      </c>
      <c r="C31" t="s">
        <v>660</v>
      </c>
      <c r="D31" t="s">
        <v>265</v>
      </c>
      <c r="E31" t="s">
        <v>4</v>
      </c>
      <c r="F31">
        <f>1034/45</f>
        <v>22.977777777777778</v>
      </c>
      <c r="G31" t="s">
        <v>10</v>
      </c>
    </row>
    <row r="33" spans="1:8" x14ac:dyDescent="0.35">
      <c r="A33" t="s">
        <v>702</v>
      </c>
      <c r="B33" t="s">
        <v>703</v>
      </c>
      <c r="C33" t="s">
        <v>704</v>
      </c>
      <c r="D33" t="s">
        <v>705</v>
      </c>
      <c r="E33" t="s">
        <v>4</v>
      </c>
      <c r="F33">
        <f>711/19.5</f>
        <v>36.46153846153846</v>
      </c>
      <c r="G33" t="s">
        <v>5</v>
      </c>
    </row>
    <row r="35" spans="1:8" x14ac:dyDescent="0.35">
      <c r="A35" t="s">
        <v>727</v>
      </c>
      <c r="B35" t="s">
        <v>728</v>
      </c>
      <c r="C35" t="s">
        <v>729</v>
      </c>
      <c r="D35" t="s">
        <v>419</v>
      </c>
      <c r="E35" t="s">
        <v>4</v>
      </c>
      <c r="F35">
        <f>774/37</f>
        <v>20.918918918918919</v>
      </c>
      <c r="G35" t="s">
        <v>10</v>
      </c>
    </row>
    <row r="37" spans="1:8" x14ac:dyDescent="0.35">
      <c r="A37" t="s">
        <v>751</v>
      </c>
      <c r="B37" t="s">
        <v>752</v>
      </c>
      <c r="C37" t="s">
        <v>753</v>
      </c>
      <c r="D37" t="s">
        <v>467</v>
      </c>
      <c r="E37" t="s">
        <v>4</v>
      </c>
      <c r="F37">
        <f>290/23</f>
        <v>12.608695652173912</v>
      </c>
      <c r="G37" t="s">
        <v>10</v>
      </c>
    </row>
    <row r="39" spans="1:8" x14ac:dyDescent="0.35">
      <c r="A39" t="s">
        <v>831</v>
      </c>
      <c r="B39" t="s">
        <v>832</v>
      </c>
      <c r="C39" t="s">
        <v>833</v>
      </c>
      <c r="D39" t="s">
        <v>834</v>
      </c>
      <c r="E39" t="s">
        <v>4</v>
      </c>
      <c r="F39">
        <f>2300/47</f>
        <v>48.936170212765958</v>
      </c>
      <c r="G39" t="s">
        <v>835</v>
      </c>
    </row>
    <row r="40" spans="1:8" x14ac:dyDescent="0.35">
      <c r="D40" t="s">
        <v>836</v>
      </c>
      <c r="F40">
        <f>2300/66</f>
        <v>34.848484848484851</v>
      </c>
      <c r="G40" t="s">
        <v>835</v>
      </c>
    </row>
    <row r="42" spans="1:8" x14ac:dyDescent="0.35">
      <c r="A42" t="s">
        <v>849</v>
      </c>
      <c r="B42" t="s">
        <v>850</v>
      </c>
      <c r="C42" t="s">
        <v>851</v>
      </c>
      <c r="D42" t="s">
        <v>852</v>
      </c>
      <c r="E42" t="s">
        <v>4</v>
      </c>
      <c r="F42">
        <f>1333/57</f>
        <v>23.385964912280702</v>
      </c>
      <c r="G42" t="s">
        <v>10</v>
      </c>
    </row>
    <row r="44" spans="1:8" x14ac:dyDescent="0.35">
      <c r="A44" t="s">
        <v>979</v>
      </c>
      <c r="B44" t="s">
        <v>675</v>
      </c>
      <c r="C44" t="s">
        <v>980</v>
      </c>
      <c r="D44" t="s">
        <v>219</v>
      </c>
      <c r="E44" t="s">
        <v>4</v>
      </c>
      <c r="F44">
        <f>284/5.5</f>
        <v>51.636363636363633</v>
      </c>
      <c r="G44" t="s">
        <v>5</v>
      </c>
      <c r="H44" t="s">
        <v>981</v>
      </c>
    </row>
    <row r="46" spans="1:8" x14ac:dyDescent="0.35">
      <c r="A46" t="s">
        <v>1010</v>
      </c>
      <c r="B46" t="s">
        <v>1011</v>
      </c>
      <c r="C46" t="s">
        <v>1012</v>
      </c>
      <c r="D46" t="s">
        <v>294</v>
      </c>
      <c r="E46" t="s">
        <v>4</v>
      </c>
      <c r="F46">
        <f>740/42</f>
        <v>17.61904761904762</v>
      </c>
      <c r="G46" t="s">
        <v>10</v>
      </c>
    </row>
    <row r="48" spans="1:8" x14ac:dyDescent="0.35">
      <c r="A48" t="s">
        <v>1060</v>
      </c>
      <c r="B48" t="s">
        <v>296</v>
      </c>
      <c r="C48" t="s">
        <v>1061</v>
      </c>
      <c r="D48" t="s">
        <v>1062</v>
      </c>
      <c r="E48" t="s">
        <v>4</v>
      </c>
      <c r="F48">
        <f>141/16.5</f>
        <v>8.545454545454545</v>
      </c>
      <c r="G48" t="s">
        <v>10</v>
      </c>
    </row>
    <row r="50" spans="1:8" x14ac:dyDescent="0.35">
      <c r="A50" t="s">
        <v>1068</v>
      </c>
      <c r="B50" t="s">
        <v>1069</v>
      </c>
      <c r="C50" t="s">
        <v>1070</v>
      </c>
      <c r="D50" t="s">
        <v>1071</v>
      </c>
      <c r="E50" t="s">
        <v>4</v>
      </c>
      <c r="F50">
        <f>2275/54</f>
        <v>42.129629629629626</v>
      </c>
      <c r="G50" t="s">
        <v>5</v>
      </c>
    </row>
    <row r="52" spans="1:8" x14ac:dyDescent="0.35">
      <c r="A52" s="1" t="s">
        <v>1118</v>
      </c>
      <c r="B52" s="1" t="s">
        <v>1119</v>
      </c>
      <c r="C52" s="1" t="s">
        <v>1120</v>
      </c>
      <c r="D52" s="1" t="s">
        <v>1121</v>
      </c>
      <c r="E52" s="1" t="s">
        <v>4</v>
      </c>
      <c r="F52" s="1">
        <f>5930/181</f>
        <v>32.762430939226519</v>
      </c>
      <c r="G52" s="1" t="s">
        <v>10</v>
      </c>
      <c r="H52" s="1" t="s">
        <v>1122</v>
      </c>
    </row>
    <row r="54" spans="1:8" x14ac:dyDescent="0.35">
      <c r="A54" t="s">
        <v>1226</v>
      </c>
      <c r="B54" t="s">
        <v>1227</v>
      </c>
      <c r="C54" t="s">
        <v>1228</v>
      </c>
      <c r="D54" t="s">
        <v>387</v>
      </c>
      <c r="E54" t="s">
        <v>4</v>
      </c>
      <c r="F54">
        <f>85/7</f>
        <v>12.142857142857142</v>
      </c>
      <c r="G54" t="s">
        <v>5</v>
      </c>
    </row>
    <row r="56" spans="1:8" x14ac:dyDescent="0.35">
      <c r="A56" t="s">
        <v>1250</v>
      </c>
      <c r="B56" t="s">
        <v>421</v>
      </c>
      <c r="C56" t="s">
        <v>1251</v>
      </c>
      <c r="D56" t="s">
        <v>178</v>
      </c>
      <c r="E56" t="s">
        <v>4</v>
      </c>
      <c r="F56">
        <f>100/15</f>
        <v>6.666666666666667</v>
      </c>
      <c r="G56" t="s">
        <v>10</v>
      </c>
    </row>
    <row r="58" spans="1:8" x14ac:dyDescent="0.35">
      <c r="A58" t="s">
        <v>1270</v>
      </c>
      <c r="B58" t="s">
        <v>1271</v>
      </c>
      <c r="C58" t="s">
        <v>1272</v>
      </c>
      <c r="D58" t="s">
        <v>872</v>
      </c>
      <c r="E58" t="s">
        <v>4</v>
      </c>
      <c r="F58">
        <f>980/18.5</f>
        <v>52.972972972972975</v>
      </c>
      <c r="G58" t="s">
        <v>5</v>
      </c>
    </row>
    <row r="60" spans="1:8" x14ac:dyDescent="0.35">
      <c r="A60" t="s">
        <v>1330</v>
      </c>
      <c r="B60" t="s">
        <v>1331</v>
      </c>
      <c r="C60" t="s">
        <v>1332</v>
      </c>
      <c r="D60" t="s">
        <v>502</v>
      </c>
      <c r="E60" t="s">
        <v>4</v>
      </c>
      <c r="F60">
        <f>1750/115</f>
        <v>15.217391304347826</v>
      </c>
      <c r="G60" t="s">
        <v>10</v>
      </c>
    </row>
    <row r="62" spans="1:8" x14ac:dyDescent="0.35">
      <c r="A62" t="s">
        <v>1442</v>
      </c>
      <c r="B62" t="s">
        <v>748</v>
      </c>
      <c r="C62" t="s">
        <v>1443</v>
      </c>
      <c r="D62" t="s">
        <v>164</v>
      </c>
      <c r="E62" t="s">
        <v>4</v>
      </c>
      <c r="F62">
        <f>860/25</f>
        <v>34.4</v>
      </c>
      <c r="G62" t="s">
        <v>5</v>
      </c>
    </row>
    <row r="64" spans="1:8" x14ac:dyDescent="0.35">
      <c r="A64" t="s">
        <v>1988</v>
      </c>
      <c r="B64" t="s">
        <v>1989</v>
      </c>
      <c r="C64" t="s">
        <v>1990</v>
      </c>
      <c r="D64" t="s">
        <v>1707</v>
      </c>
      <c r="E64" t="s">
        <v>4</v>
      </c>
      <c r="F64">
        <f>75/5.2</f>
        <v>14.423076923076923</v>
      </c>
      <c r="G64" t="s">
        <v>10</v>
      </c>
    </row>
    <row r="66" spans="1:7" x14ac:dyDescent="0.35">
      <c r="A66" t="s">
        <v>2108</v>
      </c>
      <c r="B66" t="s">
        <v>2109</v>
      </c>
      <c r="C66" t="s">
        <v>2110</v>
      </c>
      <c r="D66" t="s">
        <v>366</v>
      </c>
      <c r="E66" t="s">
        <v>4</v>
      </c>
      <c r="F66">
        <f>180/14</f>
        <v>12.857142857142858</v>
      </c>
      <c r="G66" t="s">
        <v>10</v>
      </c>
    </row>
    <row r="68" spans="1:7" x14ac:dyDescent="0.35">
      <c r="A68" t="s">
        <v>2224</v>
      </c>
      <c r="B68" t="s">
        <v>65</v>
      </c>
      <c r="C68" t="s">
        <v>2225</v>
      </c>
      <c r="D68" t="s">
        <v>144</v>
      </c>
      <c r="E68" t="s">
        <v>4</v>
      </c>
      <c r="F68">
        <f>800/30</f>
        <v>26.666666666666668</v>
      </c>
      <c r="G68" t="s">
        <v>5</v>
      </c>
    </row>
    <row r="70" spans="1:7" x14ac:dyDescent="0.35">
      <c r="A70" t="s">
        <v>2329</v>
      </c>
      <c r="B70" t="s">
        <v>29</v>
      </c>
      <c r="C70" t="s">
        <v>2330</v>
      </c>
      <c r="D70" t="s">
        <v>280</v>
      </c>
      <c r="E70" t="s">
        <v>4</v>
      </c>
      <c r="F70">
        <f>360/20</f>
        <v>18</v>
      </c>
      <c r="G70" t="s">
        <v>5</v>
      </c>
    </row>
    <row r="72" spans="1:7" x14ac:dyDescent="0.35">
      <c r="A72" t="s">
        <v>2615</v>
      </c>
      <c r="B72" t="s">
        <v>2616</v>
      </c>
      <c r="C72" t="s">
        <v>2617</v>
      </c>
      <c r="D72" t="s">
        <v>2037</v>
      </c>
      <c r="E72" t="s">
        <v>4</v>
      </c>
      <c r="F72">
        <f>1520/155</f>
        <v>9.806451612903226</v>
      </c>
      <c r="G72" t="s">
        <v>10</v>
      </c>
    </row>
    <row r="74" spans="1:7" x14ac:dyDescent="0.35">
      <c r="A74" t="s">
        <v>2828</v>
      </c>
      <c r="B74" t="s">
        <v>81</v>
      </c>
      <c r="C74" t="s">
        <v>2829</v>
      </c>
      <c r="D74" t="s">
        <v>366</v>
      </c>
      <c r="E74" t="s">
        <v>4</v>
      </c>
      <c r="F74">
        <f>129/14</f>
        <v>9.2142857142857135</v>
      </c>
      <c r="G74" t="s">
        <v>10</v>
      </c>
    </row>
    <row r="76" spans="1:7" x14ac:dyDescent="0.35">
      <c r="A76" t="s">
        <v>3079</v>
      </c>
      <c r="B76" t="s">
        <v>3080</v>
      </c>
      <c r="C76" t="s">
        <v>3081</v>
      </c>
      <c r="D76" t="s">
        <v>89</v>
      </c>
      <c r="E76" t="s">
        <v>4</v>
      </c>
      <c r="F76">
        <f>82/4</f>
        <v>20.5</v>
      </c>
      <c r="G76" t="s">
        <v>5</v>
      </c>
    </row>
    <row r="78" spans="1:7" x14ac:dyDescent="0.35">
      <c r="A78" t="s">
        <v>3124</v>
      </c>
      <c r="B78" t="s">
        <v>3125</v>
      </c>
      <c r="C78" t="s">
        <v>595</v>
      </c>
      <c r="D78" t="s">
        <v>911</v>
      </c>
      <c r="E78" t="s">
        <v>4</v>
      </c>
      <c r="F78">
        <f>2985/56</f>
        <v>53.303571428571431</v>
      </c>
      <c r="G78" t="s">
        <v>10</v>
      </c>
    </row>
    <row r="80" spans="1:7" x14ac:dyDescent="0.35">
      <c r="A80" t="s">
        <v>3130</v>
      </c>
      <c r="B80" t="s">
        <v>2279</v>
      </c>
      <c r="C80" t="s">
        <v>917</v>
      </c>
      <c r="D80" t="s">
        <v>338</v>
      </c>
      <c r="E80" t="s">
        <v>4</v>
      </c>
      <c r="F80">
        <f>122/7.8</f>
        <v>15.641025641025641</v>
      </c>
      <c r="G80" t="s">
        <v>10</v>
      </c>
    </row>
    <row r="82" spans="1:7" x14ac:dyDescent="0.35">
      <c r="A82" t="s">
        <v>3312</v>
      </c>
      <c r="B82" t="s">
        <v>1230</v>
      </c>
      <c r="C82" t="s">
        <v>3313</v>
      </c>
      <c r="D82" t="s">
        <v>280</v>
      </c>
      <c r="E82" t="s">
        <v>4</v>
      </c>
      <c r="F82">
        <f>340/20</f>
        <v>17</v>
      </c>
      <c r="G82" t="s">
        <v>5</v>
      </c>
    </row>
    <row r="84" spans="1:7" x14ac:dyDescent="0.35">
      <c r="A84" t="s">
        <v>3536</v>
      </c>
      <c r="B84" t="s">
        <v>69</v>
      </c>
      <c r="C84" t="s">
        <v>3537</v>
      </c>
      <c r="D84" t="s">
        <v>321</v>
      </c>
      <c r="E84" t="s">
        <v>4</v>
      </c>
      <c r="F84">
        <f>1590/53</f>
        <v>30</v>
      </c>
      <c r="G84" t="s">
        <v>5</v>
      </c>
    </row>
    <row r="86" spans="1:7" x14ac:dyDescent="0.35">
      <c r="A86" t="s">
        <v>3609</v>
      </c>
      <c r="B86" t="s">
        <v>997</v>
      </c>
      <c r="C86" t="s">
        <v>1818</v>
      </c>
      <c r="D86" t="s">
        <v>219</v>
      </c>
      <c r="E86" t="s">
        <v>4</v>
      </c>
    </row>
    <row r="88" spans="1:7" x14ac:dyDescent="0.35">
      <c r="A88" t="s">
        <v>3673</v>
      </c>
      <c r="B88" t="s">
        <v>1694</v>
      </c>
      <c r="C88" t="s">
        <v>3674</v>
      </c>
      <c r="D88" t="s">
        <v>1002</v>
      </c>
      <c r="E88" t="s">
        <v>4</v>
      </c>
      <c r="F88">
        <f>50/7.5</f>
        <v>6.666666666666667</v>
      </c>
      <c r="G88" t="s">
        <v>10</v>
      </c>
    </row>
    <row r="90" spans="1:7" x14ac:dyDescent="0.35">
      <c r="A90" t="s">
        <v>3733</v>
      </c>
      <c r="B90" t="s">
        <v>3734</v>
      </c>
      <c r="C90" t="s">
        <v>3504</v>
      </c>
      <c r="D90" t="s">
        <v>122</v>
      </c>
      <c r="E90" t="s">
        <v>4</v>
      </c>
      <c r="F90">
        <f>150/16</f>
        <v>9.375</v>
      </c>
      <c r="G90" t="s">
        <v>10</v>
      </c>
    </row>
    <row r="92" spans="1:7" x14ac:dyDescent="0.35">
      <c r="A92" t="s">
        <v>3830</v>
      </c>
      <c r="B92" t="s">
        <v>3831</v>
      </c>
      <c r="C92" t="s">
        <v>3832</v>
      </c>
      <c r="D92" t="s">
        <v>144</v>
      </c>
      <c r="E92" t="s">
        <v>4</v>
      </c>
      <c r="F92">
        <f>1622/30</f>
        <v>54.06666666666667</v>
      </c>
      <c r="G92" t="s">
        <v>5</v>
      </c>
    </row>
    <row r="94" spans="1:7" x14ac:dyDescent="0.35">
      <c r="A94" t="s">
        <v>4106</v>
      </c>
      <c r="B94" t="s">
        <v>3623</v>
      </c>
      <c r="C94" t="s">
        <v>4107</v>
      </c>
      <c r="D94" t="s">
        <v>27</v>
      </c>
      <c r="E94" t="s">
        <v>4</v>
      </c>
      <c r="F94">
        <f>630/35</f>
        <v>18</v>
      </c>
      <c r="G94" t="s">
        <v>5</v>
      </c>
    </row>
    <row r="96" spans="1:7" x14ac:dyDescent="0.35">
      <c r="A96" t="s">
        <v>4147</v>
      </c>
      <c r="B96" t="s">
        <v>3625</v>
      </c>
      <c r="C96" t="s">
        <v>4148</v>
      </c>
      <c r="D96" t="s">
        <v>1208</v>
      </c>
      <c r="E96" t="s">
        <v>4</v>
      </c>
      <c r="F96">
        <f>4590/140</f>
        <v>32.785714285714285</v>
      </c>
      <c r="G96" t="s">
        <v>10</v>
      </c>
    </row>
    <row r="98" spans="1:7" x14ac:dyDescent="0.35">
      <c r="A98" t="s">
        <v>4281</v>
      </c>
      <c r="B98" t="s">
        <v>4233</v>
      </c>
      <c r="C98" t="s">
        <v>4282</v>
      </c>
      <c r="D98" t="s">
        <v>23</v>
      </c>
      <c r="E98" t="s">
        <v>4</v>
      </c>
      <c r="F98">
        <f>1039/21</f>
        <v>49.476190476190474</v>
      </c>
      <c r="G98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EE1B0-A875-4D90-B2D8-B923C5C5AC77}">
  <dimension ref="A1:G49"/>
  <sheetViews>
    <sheetView topLeftCell="A22" workbookViewId="0">
      <selection activeCell="A51" sqref="A51"/>
    </sheetView>
  </sheetViews>
  <sheetFormatPr defaultRowHeight="14.5" x14ac:dyDescent="0.35"/>
  <sheetData>
    <row r="1" spans="1:7" x14ac:dyDescent="0.35">
      <c r="A1" s="2" t="s">
        <v>259</v>
      </c>
      <c r="B1" s="2" t="s">
        <v>260</v>
      </c>
      <c r="C1" s="2" t="s">
        <v>261</v>
      </c>
      <c r="D1" s="2" t="s">
        <v>79</v>
      </c>
      <c r="E1" s="2" t="s">
        <v>4</v>
      </c>
      <c r="F1" s="2">
        <f>354/10</f>
        <v>35.4</v>
      </c>
      <c r="G1" s="2" t="s">
        <v>5</v>
      </c>
    </row>
    <row r="2" spans="1:7" x14ac:dyDescent="0.35">
      <c r="A2" s="2"/>
      <c r="B2" s="2"/>
      <c r="C2" s="2"/>
      <c r="D2" s="2"/>
      <c r="E2" s="2"/>
      <c r="F2" s="2"/>
      <c r="G2" s="2"/>
    </row>
    <row r="3" spans="1:7" x14ac:dyDescent="0.35">
      <c r="A3" s="2" t="s">
        <v>374</v>
      </c>
      <c r="B3" s="2" t="s">
        <v>375</v>
      </c>
      <c r="C3" s="2" t="s">
        <v>376</v>
      </c>
      <c r="D3" s="2" t="s">
        <v>51</v>
      </c>
      <c r="E3" s="2" t="s">
        <v>4</v>
      </c>
      <c r="F3" s="2">
        <f>5885/130</f>
        <v>45.269230769230766</v>
      </c>
      <c r="G3" s="2" t="s">
        <v>5</v>
      </c>
    </row>
    <row r="5" spans="1:7" x14ac:dyDescent="0.35">
      <c r="A5" t="s">
        <v>620</v>
      </c>
      <c r="B5" t="s">
        <v>621</v>
      </c>
      <c r="C5" t="s">
        <v>622</v>
      </c>
      <c r="D5" t="s">
        <v>9</v>
      </c>
      <c r="E5" t="s">
        <v>4</v>
      </c>
      <c r="F5">
        <f>2200/65</f>
        <v>33.846153846153847</v>
      </c>
      <c r="G5" t="s">
        <v>5</v>
      </c>
    </row>
    <row r="7" spans="1:7" x14ac:dyDescent="0.35">
      <c r="A7" t="s">
        <v>667</v>
      </c>
      <c r="B7" t="s">
        <v>29</v>
      </c>
    </row>
    <row r="9" spans="1:7" x14ac:dyDescent="0.35">
      <c r="A9" t="s">
        <v>674</v>
      </c>
      <c r="B9" t="s">
        <v>675</v>
      </c>
      <c r="C9" t="s">
        <v>676</v>
      </c>
      <c r="D9" t="s">
        <v>677</v>
      </c>
      <c r="E9" t="s">
        <v>4</v>
      </c>
      <c r="F9">
        <f>227/9.5</f>
        <v>23.894736842105264</v>
      </c>
      <c r="G9" t="s">
        <v>5</v>
      </c>
    </row>
    <row r="11" spans="1:7" x14ac:dyDescent="0.35">
      <c r="A11" t="s">
        <v>929</v>
      </c>
      <c r="B11" t="s">
        <v>930</v>
      </c>
      <c r="C11" t="s">
        <v>931</v>
      </c>
      <c r="D11" t="s">
        <v>932</v>
      </c>
      <c r="E11" t="s">
        <v>4</v>
      </c>
      <c r="F11">
        <f>12250/250</f>
        <v>49</v>
      </c>
      <c r="G11" t="s">
        <v>5</v>
      </c>
    </row>
    <row r="13" spans="1:7" x14ac:dyDescent="0.35">
      <c r="A13" t="s">
        <v>933</v>
      </c>
      <c r="B13" t="s">
        <v>489</v>
      </c>
      <c r="C13" t="s">
        <v>934</v>
      </c>
      <c r="D13" t="s">
        <v>498</v>
      </c>
      <c r="E13" t="s">
        <v>4</v>
      </c>
      <c r="F13">
        <f>105/8</f>
        <v>13.125</v>
      </c>
      <c r="G13" t="s">
        <v>10</v>
      </c>
    </row>
    <row r="15" spans="1:7" x14ac:dyDescent="0.35">
      <c r="A15" t="s">
        <v>1205</v>
      </c>
      <c r="B15" t="s">
        <v>1206</v>
      </c>
      <c r="C15" t="s">
        <v>1207</v>
      </c>
      <c r="D15" t="s">
        <v>1208</v>
      </c>
      <c r="E15" t="s">
        <v>4</v>
      </c>
      <c r="F15">
        <f>1684/140</f>
        <v>12.028571428571428</v>
      </c>
      <c r="G15" t="s">
        <v>10</v>
      </c>
    </row>
    <row r="17" spans="1:7" x14ac:dyDescent="0.35">
      <c r="A17" t="s">
        <v>1509</v>
      </c>
      <c r="B17" t="s">
        <v>1110</v>
      </c>
      <c r="C17" t="s">
        <v>1510</v>
      </c>
      <c r="D17" t="s">
        <v>122</v>
      </c>
      <c r="E17" t="s">
        <v>4</v>
      </c>
      <c r="F17">
        <f>165/16</f>
        <v>10.3125</v>
      </c>
      <c r="G17" t="s">
        <v>10</v>
      </c>
    </row>
    <row r="19" spans="1:7" x14ac:dyDescent="0.35">
      <c r="A19" t="s">
        <v>1550</v>
      </c>
      <c r="B19" t="s">
        <v>1551</v>
      </c>
      <c r="C19" t="s">
        <v>1552</v>
      </c>
      <c r="D19" t="s">
        <v>75</v>
      </c>
      <c r="E19" t="s">
        <v>4</v>
      </c>
      <c r="F19">
        <f>510/15.5</f>
        <v>32.903225806451616</v>
      </c>
      <c r="G19" t="s">
        <v>5</v>
      </c>
    </row>
    <row r="21" spans="1:7" x14ac:dyDescent="0.35">
      <c r="A21" s="1" t="s">
        <v>1757</v>
      </c>
      <c r="B21" s="1" t="s">
        <v>1758</v>
      </c>
      <c r="C21" s="1" t="s">
        <v>1759</v>
      </c>
      <c r="D21" s="1" t="s">
        <v>536</v>
      </c>
      <c r="E21" s="1" t="s">
        <v>4</v>
      </c>
      <c r="F21" s="1">
        <f>1050/50</f>
        <v>21</v>
      </c>
      <c r="G21" s="1" t="s">
        <v>10</v>
      </c>
    </row>
    <row r="23" spans="1:7" x14ac:dyDescent="0.35">
      <c r="A23" t="s">
        <v>1966</v>
      </c>
      <c r="B23" t="s">
        <v>1967</v>
      </c>
      <c r="C23" t="s">
        <v>1968</v>
      </c>
      <c r="D23" t="s">
        <v>1374</v>
      </c>
      <c r="E23" t="s">
        <v>4</v>
      </c>
      <c r="F23">
        <f>2100/81</f>
        <v>25.925925925925927</v>
      </c>
      <c r="G23" t="s">
        <v>10</v>
      </c>
    </row>
    <row r="25" spans="1:7" x14ac:dyDescent="0.35">
      <c r="A25" t="s">
        <v>2145</v>
      </c>
      <c r="B25" t="s">
        <v>2146</v>
      </c>
      <c r="C25" t="s">
        <v>2147</v>
      </c>
      <c r="D25" t="s">
        <v>613</v>
      </c>
      <c r="E25" t="s">
        <v>4</v>
      </c>
      <c r="F25">
        <f>762/40</f>
        <v>19.05</v>
      </c>
      <c r="G25" t="s">
        <v>10</v>
      </c>
    </row>
    <row r="27" spans="1:7" x14ac:dyDescent="0.35">
      <c r="A27" t="s">
        <v>2313</v>
      </c>
      <c r="B27" t="s">
        <v>1677</v>
      </c>
      <c r="C27" t="s">
        <v>2002</v>
      </c>
      <c r="D27" t="s">
        <v>188</v>
      </c>
      <c r="E27" t="s">
        <v>4</v>
      </c>
      <c r="F27">
        <f>116/3.5</f>
        <v>33.142857142857146</v>
      </c>
      <c r="G27" t="s">
        <v>5</v>
      </c>
    </row>
    <row r="29" spans="1:7" x14ac:dyDescent="0.35">
      <c r="A29" t="s">
        <v>2427</v>
      </c>
      <c r="B29" t="s">
        <v>562</v>
      </c>
      <c r="C29" t="s">
        <v>2428</v>
      </c>
      <c r="D29" t="s">
        <v>35</v>
      </c>
      <c r="E29" t="s">
        <v>4</v>
      </c>
      <c r="F29">
        <f>174/6</f>
        <v>29</v>
      </c>
      <c r="G29" t="s">
        <v>5</v>
      </c>
    </row>
    <row r="31" spans="1:7" x14ac:dyDescent="0.35">
      <c r="A31" t="s">
        <v>2431</v>
      </c>
      <c r="B31" t="s">
        <v>323</v>
      </c>
      <c r="C31" t="s">
        <v>203</v>
      </c>
      <c r="D31" t="s">
        <v>2432</v>
      </c>
      <c r="E31" t="s">
        <v>4</v>
      </c>
      <c r="F31">
        <f>215/9.2</f>
        <v>23.369565217391305</v>
      </c>
      <c r="G31" t="s">
        <v>10</v>
      </c>
    </row>
    <row r="33" spans="1:7" x14ac:dyDescent="0.35">
      <c r="A33" t="s">
        <v>2445</v>
      </c>
      <c r="B33" t="s">
        <v>2446</v>
      </c>
      <c r="C33" t="s">
        <v>2447</v>
      </c>
      <c r="D33" t="s">
        <v>2448</v>
      </c>
      <c r="E33" t="s">
        <v>4</v>
      </c>
      <c r="F33">
        <f>27000/490</f>
        <v>55.102040816326529</v>
      </c>
      <c r="G33" t="s">
        <v>305</v>
      </c>
    </row>
    <row r="35" spans="1:7" x14ac:dyDescent="0.35">
      <c r="A35" t="s">
        <v>2475</v>
      </c>
      <c r="B35" t="s">
        <v>29</v>
      </c>
      <c r="C35" t="s">
        <v>2476</v>
      </c>
      <c r="D35" t="s">
        <v>116</v>
      </c>
      <c r="E35" t="s">
        <v>4</v>
      </c>
      <c r="F35">
        <f>72/2.5</f>
        <v>28.8</v>
      </c>
      <c r="G35" t="s">
        <v>305</v>
      </c>
    </row>
    <row r="37" spans="1:7" x14ac:dyDescent="0.35">
      <c r="A37" t="s">
        <v>2746</v>
      </c>
      <c r="B37" t="s">
        <v>519</v>
      </c>
      <c r="C37" t="s">
        <v>2747</v>
      </c>
      <c r="D37" t="s">
        <v>309</v>
      </c>
      <c r="E37" t="s">
        <v>4</v>
      </c>
      <c r="F37">
        <f>377/17</f>
        <v>22.176470588235293</v>
      </c>
      <c r="G37" t="s">
        <v>5</v>
      </c>
    </row>
    <row r="39" spans="1:7" x14ac:dyDescent="0.35">
      <c r="A39" t="s">
        <v>3050</v>
      </c>
      <c r="B39" t="s">
        <v>3051</v>
      </c>
      <c r="C39" t="s">
        <v>3052</v>
      </c>
      <c r="D39" t="s">
        <v>144</v>
      </c>
      <c r="E39" t="s">
        <v>4</v>
      </c>
      <c r="F39">
        <f>1200/30</f>
        <v>40</v>
      </c>
      <c r="G39" t="s">
        <v>5</v>
      </c>
    </row>
    <row r="41" spans="1:7" x14ac:dyDescent="0.35">
      <c r="A41" t="s">
        <v>3208</v>
      </c>
      <c r="B41" t="s">
        <v>2345</v>
      </c>
      <c r="C41" t="s">
        <v>30</v>
      </c>
    </row>
    <row r="43" spans="1:7" x14ac:dyDescent="0.35">
      <c r="A43" t="s">
        <v>3298</v>
      </c>
      <c r="B43" t="s">
        <v>3299</v>
      </c>
      <c r="C43" t="s">
        <v>864</v>
      </c>
      <c r="D43" t="s">
        <v>63</v>
      </c>
      <c r="E43" t="s">
        <v>4</v>
      </c>
      <c r="F43">
        <f>2800/60</f>
        <v>46.666666666666664</v>
      </c>
      <c r="G43" t="s">
        <v>5</v>
      </c>
    </row>
    <row r="45" spans="1:7" x14ac:dyDescent="0.35">
      <c r="A45" t="s">
        <v>1380</v>
      </c>
      <c r="B45" t="s">
        <v>3463</v>
      </c>
      <c r="C45" t="s">
        <v>3464</v>
      </c>
      <c r="D45" t="s">
        <v>834</v>
      </c>
      <c r="E45" t="s">
        <v>4</v>
      </c>
      <c r="F45">
        <f>892/47</f>
        <v>18.978723404255319</v>
      </c>
      <c r="G45" t="s">
        <v>10</v>
      </c>
    </row>
    <row r="47" spans="1:7" x14ac:dyDescent="0.35">
      <c r="A47" t="s">
        <v>3478</v>
      </c>
      <c r="B47" t="s">
        <v>417</v>
      </c>
      <c r="C47" t="s">
        <v>2783</v>
      </c>
      <c r="D47" t="s">
        <v>27</v>
      </c>
      <c r="E47" t="s">
        <v>4</v>
      </c>
      <c r="F47">
        <f>327/35</f>
        <v>9.3428571428571434</v>
      </c>
      <c r="G47" t="s">
        <v>10</v>
      </c>
    </row>
    <row r="49" spans="1:7" x14ac:dyDescent="0.35">
      <c r="A49" t="s">
        <v>3655</v>
      </c>
      <c r="B49" t="s">
        <v>29</v>
      </c>
      <c r="C49" t="s">
        <v>753</v>
      </c>
      <c r="D49" t="s">
        <v>467</v>
      </c>
      <c r="E49" t="s">
        <v>4</v>
      </c>
      <c r="F49">
        <f>700/23</f>
        <v>30.434782608695652</v>
      </c>
      <c r="G49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9E757-FE50-45A9-84AC-9D5C2C70A911}">
  <dimension ref="A1:H175"/>
  <sheetViews>
    <sheetView topLeftCell="A149" workbookViewId="0">
      <selection activeCell="A177" sqref="A177"/>
    </sheetView>
  </sheetViews>
  <sheetFormatPr defaultRowHeight="14.5" x14ac:dyDescent="0.35"/>
  <cols>
    <col min="1" max="1" width="14.81640625" bestFit="1" customWidth="1"/>
  </cols>
  <sheetData>
    <row r="1" spans="1:8" x14ac:dyDescent="0.35">
      <c r="A1" s="2" t="s">
        <v>295</v>
      </c>
      <c r="B1" s="2" t="s">
        <v>296</v>
      </c>
      <c r="C1" s="2" t="s">
        <v>297</v>
      </c>
      <c r="D1" s="2" t="s">
        <v>23</v>
      </c>
      <c r="E1" s="2" t="s">
        <v>4</v>
      </c>
      <c r="F1" s="2">
        <f>560/21</f>
        <v>26.666666666666668</v>
      </c>
      <c r="G1" s="2" t="s">
        <v>5</v>
      </c>
      <c r="H1" s="2"/>
    </row>
    <row r="3" spans="1:8" x14ac:dyDescent="0.35">
      <c r="A3" t="s">
        <v>298</v>
      </c>
      <c r="B3" t="s">
        <v>299</v>
      </c>
      <c r="C3" t="s">
        <v>300</v>
      </c>
      <c r="D3" t="s">
        <v>59</v>
      </c>
      <c r="E3" t="s">
        <v>4</v>
      </c>
      <c r="F3">
        <f>245/13</f>
        <v>18.846153846153847</v>
      </c>
      <c r="G3" t="s">
        <v>10</v>
      </c>
    </row>
    <row r="5" spans="1:8" x14ac:dyDescent="0.35">
      <c r="A5" s="2" t="s">
        <v>314</v>
      </c>
      <c r="B5" s="2" t="s">
        <v>315</v>
      </c>
      <c r="C5" s="2" t="s">
        <v>316</v>
      </c>
      <c r="D5" s="2" t="s">
        <v>178</v>
      </c>
      <c r="E5" s="2" t="s">
        <v>4</v>
      </c>
      <c r="F5" s="2">
        <f>473/15</f>
        <v>31.533333333333335</v>
      </c>
      <c r="G5" s="2" t="s">
        <v>5</v>
      </c>
      <c r="H5" s="2"/>
    </row>
    <row r="6" spans="1:8" x14ac:dyDescent="0.35">
      <c r="A6" s="2"/>
      <c r="B6" s="2"/>
      <c r="C6" s="2"/>
      <c r="D6" s="2"/>
      <c r="E6" s="2"/>
      <c r="F6" s="2"/>
      <c r="G6" s="2"/>
      <c r="H6" s="2"/>
    </row>
    <row r="7" spans="1:8" x14ac:dyDescent="0.35">
      <c r="A7" s="2" t="s">
        <v>339</v>
      </c>
      <c r="B7" s="2" t="s">
        <v>340</v>
      </c>
      <c r="C7" s="2" t="s">
        <v>341</v>
      </c>
      <c r="D7" s="2" t="s">
        <v>79</v>
      </c>
      <c r="E7" s="2" t="s">
        <v>4</v>
      </c>
      <c r="F7" s="2">
        <f>162/10</f>
        <v>16.2</v>
      </c>
      <c r="G7" s="2" t="s">
        <v>5</v>
      </c>
      <c r="H7" s="2"/>
    </row>
    <row r="9" spans="1:8" x14ac:dyDescent="0.35">
      <c r="A9" t="s">
        <v>482</v>
      </c>
      <c r="B9" t="s">
        <v>483</v>
      </c>
      <c r="C9" t="s">
        <v>484</v>
      </c>
      <c r="D9" t="s">
        <v>366</v>
      </c>
      <c r="E9" t="s">
        <v>4</v>
      </c>
      <c r="F9">
        <f>383/14</f>
        <v>27.357142857142858</v>
      </c>
      <c r="G9" t="s">
        <v>10</v>
      </c>
    </row>
    <row r="11" spans="1:8" x14ac:dyDescent="0.35">
      <c r="A11" t="s">
        <v>558</v>
      </c>
      <c r="B11" t="s">
        <v>559</v>
      </c>
      <c r="C11" t="s">
        <v>560</v>
      </c>
      <c r="D11" t="s">
        <v>366</v>
      </c>
      <c r="E11" t="s">
        <v>4</v>
      </c>
      <c r="F11">
        <f>500/14</f>
        <v>35.714285714285715</v>
      </c>
      <c r="G11" t="s">
        <v>5</v>
      </c>
    </row>
    <row r="13" spans="1:8" x14ac:dyDescent="0.35">
      <c r="A13" t="s">
        <v>627</v>
      </c>
      <c r="B13" t="s">
        <v>628</v>
      </c>
      <c r="C13" t="s">
        <v>629</v>
      </c>
      <c r="D13" t="s">
        <v>23</v>
      </c>
      <c r="E13" t="s">
        <v>4</v>
      </c>
      <c r="F13">
        <f>1387/21</f>
        <v>66.047619047619051</v>
      </c>
      <c r="G13" t="s">
        <v>5</v>
      </c>
    </row>
    <row r="15" spans="1:8" x14ac:dyDescent="0.35">
      <c r="A15" s="1" t="s">
        <v>636</v>
      </c>
      <c r="B15" s="1" t="s">
        <v>637</v>
      </c>
      <c r="C15" s="1" t="s">
        <v>638</v>
      </c>
      <c r="D15" s="1" t="s">
        <v>134</v>
      </c>
      <c r="E15" s="1" t="s">
        <v>4</v>
      </c>
      <c r="F15" s="1">
        <f>129/12</f>
        <v>10.75</v>
      </c>
      <c r="G15" s="1" t="s">
        <v>10</v>
      </c>
    </row>
    <row r="17" spans="1:7" x14ac:dyDescent="0.35">
      <c r="A17" s="1" t="s">
        <v>668</v>
      </c>
      <c r="B17" s="1" t="s">
        <v>669</v>
      </c>
      <c r="C17" s="1" t="s">
        <v>670</v>
      </c>
      <c r="D17" s="1" t="s">
        <v>247</v>
      </c>
      <c r="E17" s="1" t="s">
        <v>4</v>
      </c>
      <c r="F17" s="1">
        <f>63/8.5</f>
        <v>7.4117647058823533</v>
      </c>
      <c r="G17" s="1" t="s">
        <v>10</v>
      </c>
    </row>
    <row r="19" spans="1:7" x14ac:dyDescent="0.35">
      <c r="A19" s="1" t="s">
        <v>736</v>
      </c>
      <c r="B19" s="1" t="s">
        <v>69</v>
      </c>
      <c r="C19" s="1" t="s">
        <v>737</v>
      </c>
      <c r="D19" s="1" t="s">
        <v>626</v>
      </c>
      <c r="E19" s="1" t="s">
        <v>4</v>
      </c>
      <c r="F19" s="1">
        <f>426/39</f>
        <v>10.923076923076923</v>
      </c>
      <c r="G19" s="1" t="s">
        <v>10</v>
      </c>
    </row>
    <row r="21" spans="1:7" x14ac:dyDescent="0.35">
      <c r="A21" t="s">
        <v>888</v>
      </c>
      <c r="B21" t="s">
        <v>889</v>
      </c>
      <c r="C21" t="s">
        <v>890</v>
      </c>
      <c r="D21" t="s">
        <v>891</v>
      </c>
      <c r="E21" t="s">
        <v>4</v>
      </c>
      <c r="F21">
        <f>5825/220</f>
        <v>26.477272727272727</v>
      </c>
      <c r="G21" t="s">
        <v>10</v>
      </c>
    </row>
    <row r="23" spans="1:7" x14ac:dyDescent="0.35">
      <c r="A23" t="s">
        <v>969</v>
      </c>
      <c r="B23" t="s">
        <v>793</v>
      </c>
      <c r="C23" t="s">
        <v>970</v>
      </c>
      <c r="D23" t="s">
        <v>971</v>
      </c>
      <c r="E23" t="s">
        <v>4</v>
      </c>
      <c r="F23">
        <f>407/10.5</f>
        <v>38.761904761904759</v>
      </c>
      <c r="G23" t="s">
        <v>5</v>
      </c>
    </row>
    <row r="25" spans="1:7" x14ac:dyDescent="0.35">
      <c r="A25" t="s">
        <v>1017</v>
      </c>
      <c r="B25" t="s">
        <v>382</v>
      </c>
      <c r="C25" t="s">
        <v>945</v>
      </c>
      <c r="D25" t="s">
        <v>35</v>
      </c>
      <c r="E25" t="s">
        <v>4</v>
      </c>
      <c r="F25">
        <f>152/6</f>
        <v>25.333333333333332</v>
      </c>
      <c r="G25" t="s">
        <v>5</v>
      </c>
    </row>
    <row r="27" spans="1:7" x14ac:dyDescent="0.35">
      <c r="A27" t="s">
        <v>1018</v>
      </c>
      <c r="B27" t="s">
        <v>1019</v>
      </c>
      <c r="C27" t="s">
        <v>1020</v>
      </c>
      <c r="D27" t="s">
        <v>366</v>
      </c>
      <c r="E27" t="s">
        <v>4</v>
      </c>
      <c r="F27">
        <f>528/14</f>
        <v>37.714285714285715</v>
      </c>
      <c r="G27" t="s">
        <v>5</v>
      </c>
    </row>
    <row r="29" spans="1:7" x14ac:dyDescent="0.35">
      <c r="A29" t="s">
        <v>1185</v>
      </c>
      <c r="B29" t="s">
        <v>1186</v>
      </c>
      <c r="C29" t="s">
        <v>1187</v>
      </c>
      <c r="D29" t="s">
        <v>613</v>
      </c>
      <c r="E29" t="s">
        <v>4</v>
      </c>
      <c r="F29">
        <f>1850/40</f>
        <v>46.25</v>
      </c>
      <c r="G29" t="s">
        <v>5</v>
      </c>
    </row>
    <row r="31" spans="1:7" x14ac:dyDescent="0.35">
      <c r="A31" t="s">
        <v>1262</v>
      </c>
      <c r="B31" t="s">
        <v>781</v>
      </c>
      <c r="C31" t="s">
        <v>1263</v>
      </c>
      <c r="D31" t="s">
        <v>1264</v>
      </c>
      <c r="E31" t="s">
        <v>4</v>
      </c>
      <c r="F31">
        <f>172/4</f>
        <v>43</v>
      </c>
      <c r="G31" t="s">
        <v>5</v>
      </c>
    </row>
    <row r="33" spans="1:7" x14ac:dyDescent="0.35">
      <c r="A33" t="s">
        <v>1369</v>
      </c>
      <c r="B33" t="s">
        <v>1081</v>
      </c>
      <c r="C33" t="s">
        <v>1370</v>
      </c>
      <c r="D33" t="s">
        <v>536</v>
      </c>
      <c r="E33" t="s">
        <v>4</v>
      </c>
      <c r="F33">
        <f>530/50</f>
        <v>10.6</v>
      </c>
      <c r="G33" t="s">
        <v>10</v>
      </c>
    </row>
    <row r="35" spans="1:7" x14ac:dyDescent="0.35">
      <c r="A35" t="s">
        <v>1387</v>
      </c>
      <c r="B35" t="s">
        <v>1388</v>
      </c>
      <c r="C35" t="s">
        <v>1389</v>
      </c>
      <c r="D35" t="s">
        <v>1390</v>
      </c>
      <c r="E35" t="s">
        <v>4</v>
      </c>
      <c r="F35">
        <f>1140/44</f>
        <v>25.90909090909091</v>
      </c>
      <c r="G35" t="s">
        <v>10</v>
      </c>
    </row>
    <row r="37" spans="1:7" x14ac:dyDescent="0.35">
      <c r="A37" t="s">
        <v>1403</v>
      </c>
      <c r="B37" t="s">
        <v>669</v>
      </c>
      <c r="C37" t="s">
        <v>1404</v>
      </c>
      <c r="D37" t="s">
        <v>79</v>
      </c>
      <c r="E37" t="s">
        <v>4</v>
      </c>
      <c r="F37">
        <f>222/10</f>
        <v>22.2</v>
      </c>
      <c r="G37" t="s">
        <v>5</v>
      </c>
    </row>
    <row r="39" spans="1:7" x14ac:dyDescent="0.35">
      <c r="A39" t="s">
        <v>1430</v>
      </c>
      <c r="B39" t="s">
        <v>1431</v>
      </c>
      <c r="C39" t="s">
        <v>1432</v>
      </c>
      <c r="D39" t="s">
        <v>219</v>
      </c>
      <c r="E39" t="s">
        <v>4</v>
      </c>
      <c r="F39">
        <f>200/5.5</f>
        <v>36.363636363636367</v>
      </c>
      <c r="G39" t="s">
        <v>5</v>
      </c>
    </row>
    <row r="41" spans="1:7" x14ac:dyDescent="0.35">
      <c r="A41" t="s">
        <v>1541</v>
      </c>
      <c r="B41" t="s">
        <v>530</v>
      </c>
      <c r="C41" t="s">
        <v>1542</v>
      </c>
      <c r="D41" t="s">
        <v>269</v>
      </c>
      <c r="E41" t="s">
        <v>4</v>
      </c>
      <c r="F41">
        <f>140/3</f>
        <v>46.666666666666664</v>
      </c>
      <c r="G41" t="s">
        <v>597</v>
      </c>
    </row>
    <row r="43" spans="1:7" x14ac:dyDescent="0.35">
      <c r="A43" t="s">
        <v>1546</v>
      </c>
      <c r="B43" t="s">
        <v>1547</v>
      </c>
      <c r="C43" t="s">
        <v>1548</v>
      </c>
      <c r="D43" t="s">
        <v>1549</v>
      </c>
      <c r="E43" t="s">
        <v>4</v>
      </c>
      <c r="F43">
        <f>1043/78</f>
        <v>13.371794871794872</v>
      </c>
      <c r="G43" t="s">
        <v>10</v>
      </c>
    </row>
    <row r="45" spans="1:7" x14ac:dyDescent="0.35">
      <c r="A45" t="s">
        <v>1576</v>
      </c>
      <c r="B45" t="s">
        <v>997</v>
      </c>
      <c r="C45" t="s">
        <v>1577</v>
      </c>
      <c r="D45" t="s">
        <v>1578</v>
      </c>
      <c r="E45" t="s">
        <v>4</v>
      </c>
      <c r="F45">
        <f>55/4.75</f>
        <v>11.578947368421053</v>
      </c>
      <c r="G45" t="s">
        <v>10</v>
      </c>
    </row>
    <row r="47" spans="1:7" x14ac:dyDescent="0.35">
      <c r="A47" t="s">
        <v>1652</v>
      </c>
      <c r="B47" t="s">
        <v>1653</v>
      </c>
      <c r="C47" t="s">
        <v>1654</v>
      </c>
      <c r="D47" t="s">
        <v>1655</v>
      </c>
      <c r="E47" t="s">
        <v>4</v>
      </c>
      <c r="F47">
        <f>83/2.65</f>
        <v>31.320754716981135</v>
      </c>
      <c r="G47" t="s">
        <v>5</v>
      </c>
    </row>
    <row r="49" spans="1:7" x14ac:dyDescent="0.35">
      <c r="A49" t="s">
        <v>1703</v>
      </c>
      <c r="B49" t="s">
        <v>1704</v>
      </c>
      <c r="C49" t="s">
        <v>1705</v>
      </c>
      <c r="D49" t="s">
        <v>677</v>
      </c>
      <c r="E49" t="s">
        <v>4</v>
      </c>
      <c r="F49">
        <f>97/9.5</f>
        <v>10.210526315789474</v>
      </c>
      <c r="G49" t="s">
        <v>10</v>
      </c>
    </row>
    <row r="51" spans="1:7" x14ac:dyDescent="0.35">
      <c r="A51" s="1" t="s">
        <v>1745</v>
      </c>
      <c r="B51" s="1" t="s">
        <v>1746</v>
      </c>
      <c r="C51" s="1" t="s">
        <v>520</v>
      </c>
      <c r="D51" s="1" t="s">
        <v>130</v>
      </c>
      <c r="E51" s="1" t="s">
        <v>4</v>
      </c>
      <c r="F51" s="1">
        <f>845/100</f>
        <v>8.4499999999999993</v>
      </c>
      <c r="G51" s="1" t="s">
        <v>10</v>
      </c>
    </row>
    <row r="53" spans="1:7" x14ac:dyDescent="0.35">
      <c r="A53" t="s">
        <v>1766</v>
      </c>
      <c r="B53" t="s">
        <v>483</v>
      </c>
      <c r="C53" t="s">
        <v>995</v>
      </c>
      <c r="D53" t="s">
        <v>463</v>
      </c>
      <c r="E53" t="s">
        <v>4</v>
      </c>
      <c r="F53">
        <f>860/24</f>
        <v>35.833333333333336</v>
      </c>
      <c r="G53" t="s">
        <v>5</v>
      </c>
    </row>
    <row r="55" spans="1:7" x14ac:dyDescent="0.35">
      <c r="A55" t="s">
        <v>1767</v>
      </c>
      <c r="B55" t="s">
        <v>1768</v>
      </c>
      <c r="C55" t="s">
        <v>199</v>
      </c>
      <c r="D55" t="s">
        <v>974</v>
      </c>
      <c r="E55" t="s">
        <v>4</v>
      </c>
      <c r="F55">
        <f>1527/41</f>
        <v>37.243902439024389</v>
      </c>
      <c r="G55" t="s">
        <v>5</v>
      </c>
    </row>
    <row r="57" spans="1:7" x14ac:dyDescent="0.35">
      <c r="A57" t="s">
        <v>1826</v>
      </c>
      <c r="B57" t="s">
        <v>1827</v>
      </c>
      <c r="C57" t="s">
        <v>1828</v>
      </c>
      <c r="D57" t="s">
        <v>280</v>
      </c>
      <c r="E57" t="s">
        <v>4</v>
      </c>
      <c r="F57">
        <f>524/20</f>
        <v>26.2</v>
      </c>
      <c r="G57" t="s">
        <v>10</v>
      </c>
    </row>
    <row r="59" spans="1:7" x14ac:dyDescent="0.35">
      <c r="A59" t="s">
        <v>1829</v>
      </c>
      <c r="B59" t="s">
        <v>1830</v>
      </c>
      <c r="C59" t="s">
        <v>1831</v>
      </c>
      <c r="D59" t="s">
        <v>1832</v>
      </c>
      <c r="E59" t="s">
        <v>4</v>
      </c>
      <c r="F59">
        <f>122/7.7</f>
        <v>15.844155844155845</v>
      </c>
      <c r="G59" t="s">
        <v>10</v>
      </c>
    </row>
    <row r="61" spans="1:7" x14ac:dyDescent="0.35">
      <c r="A61" t="s">
        <v>1874</v>
      </c>
      <c r="B61" t="s">
        <v>190</v>
      </c>
      <c r="C61" t="s">
        <v>1875</v>
      </c>
      <c r="D61" t="s">
        <v>79</v>
      </c>
      <c r="E61" t="s">
        <v>4</v>
      </c>
      <c r="F61">
        <f>314/10</f>
        <v>31.4</v>
      </c>
      <c r="G61" t="s">
        <v>597</v>
      </c>
    </row>
    <row r="63" spans="1:7" x14ac:dyDescent="0.35">
      <c r="A63" t="s">
        <v>1959</v>
      </c>
      <c r="B63" t="s">
        <v>1960</v>
      </c>
      <c r="C63" t="s">
        <v>1961</v>
      </c>
      <c r="D63" t="s">
        <v>134</v>
      </c>
      <c r="E63" t="s">
        <v>4</v>
      </c>
      <c r="F63">
        <f>373/12</f>
        <v>31.083333333333332</v>
      </c>
      <c r="G63" t="s">
        <v>5</v>
      </c>
    </row>
    <row r="65" spans="1:7" x14ac:dyDescent="0.35">
      <c r="A65" t="s">
        <v>1962</v>
      </c>
      <c r="B65" t="s">
        <v>694</v>
      </c>
      <c r="C65" t="s">
        <v>1460</v>
      </c>
      <c r="D65" t="s">
        <v>971</v>
      </c>
      <c r="E65" t="s">
        <v>4</v>
      </c>
      <c r="F65">
        <f>174/10.5</f>
        <v>16.571428571428573</v>
      </c>
      <c r="G65" t="s">
        <v>5</v>
      </c>
    </row>
    <row r="67" spans="1:7" x14ac:dyDescent="0.35">
      <c r="A67" t="s">
        <v>1997</v>
      </c>
      <c r="B67" t="s">
        <v>29</v>
      </c>
      <c r="C67" t="s">
        <v>312</v>
      </c>
      <c r="D67" t="s">
        <v>287</v>
      </c>
      <c r="E67" t="s">
        <v>4</v>
      </c>
      <c r="F67">
        <f>727/12.5</f>
        <v>58.16</v>
      </c>
      <c r="G67" t="s">
        <v>5</v>
      </c>
    </row>
    <row r="69" spans="1:7" x14ac:dyDescent="0.35">
      <c r="A69" t="s">
        <v>2053</v>
      </c>
      <c r="B69" t="s">
        <v>2054</v>
      </c>
      <c r="C69" t="s">
        <v>1086</v>
      </c>
      <c r="D69" t="s">
        <v>1002</v>
      </c>
      <c r="E69" t="s">
        <v>4</v>
      </c>
      <c r="F69">
        <f>300/7.5</f>
        <v>40</v>
      </c>
      <c r="G69" t="s">
        <v>5</v>
      </c>
    </row>
    <row r="71" spans="1:7" x14ac:dyDescent="0.35">
      <c r="A71" t="s">
        <v>2055</v>
      </c>
      <c r="B71" t="s">
        <v>2056</v>
      </c>
      <c r="C71" t="s">
        <v>2057</v>
      </c>
      <c r="D71" t="s">
        <v>27</v>
      </c>
      <c r="E71" t="s">
        <v>4</v>
      </c>
      <c r="F71">
        <f>1620/35</f>
        <v>46.285714285714285</v>
      </c>
      <c r="G71" t="s">
        <v>597</v>
      </c>
    </row>
    <row r="73" spans="1:7" x14ac:dyDescent="0.35">
      <c r="A73" t="s">
        <v>2081</v>
      </c>
      <c r="B73" t="s">
        <v>2082</v>
      </c>
      <c r="C73" t="s">
        <v>2083</v>
      </c>
      <c r="D73" t="s">
        <v>27</v>
      </c>
      <c r="E73" t="s">
        <v>4</v>
      </c>
      <c r="F73">
        <f>800/35</f>
        <v>22.857142857142858</v>
      </c>
      <c r="G73" t="s">
        <v>10</v>
      </c>
    </row>
    <row r="75" spans="1:7" x14ac:dyDescent="0.35">
      <c r="A75" t="s">
        <v>2111</v>
      </c>
      <c r="B75" t="s">
        <v>1702</v>
      </c>
      <c r="C75" t="s">
        <v>13</v>
      </c>
      <c r="D75" t="s">
        <v>1105</v>
      </c>
      <c r="E75" t="s">
        <v>4</v>
      </c>
      <c r="F75">
        <f>1800/80</f>
        <v>22.5</v>
      </c>
      <c r="G75" t="s">
        <v>10</v>
      </c>
    </row>
    <row r="77" spans="1:7" x14ac:dyDescent="0.35">
      <c r="A77" t="s">
        <v>2131</v>
      </c>
      <c r="B77" t="s">
        <v>29</v>
      </c>
      <c r="C77" t="s">
        <v>2132</v>
      </c>
      <c r="D77" t="s">
        <v>280</v>
      </c>
      <c r="E77" t="s">
        <v>4</v>
      </c>
      <c r="F77">
        <f>935/20</f>
        <v>46.75</v>
      </c>
      <c r="G77" t="s">
        <v>5</v>
      </c>
    </row>
    <row r="79" spans="1:7" x14ac:dyDescent="0.35">
      <c r="A79" t="s">
        <v>2159</v>
      </c>
      <c r="B79" t="s">
        <v>2160</v>
      </c>
      <c r="C79" t="s">
        <v>2161</v>
      </c>
      <c r="D79" t="s">
        <v>164</v>
      </c>
      <c r="E79" t="s">
        <v>4</v>
      </c>
      <c r="F79">
        <f>664/25</f>
        <v>26.56</v>
      </c>
      <c r="G79" t="s">
        <v>10</v>
      </c>
    </row>
    <row r="81" spans="1:7" x14ac:dyDescent="0.35">
      <c r="A81" t="s">
        <v>2164</v>
      </c>
      <c r="B81" t="s">
        <v>784</v>
      </c>
      <c r="C81" t="s">
        <v>1251</v>
      </c>
      <c r="D81" t="s">
        <v>309</v>
      </c>
      <c r="E81" t="s">
        <v>4</v>
      </c>
      <c r="F81">
        <f>1000/17</f>
        <v>58.823529411764703</v>
      </c>
      <c r="G81" t="s">
        <v>5</v>
      </c>
    </row>
    <row r="83" spans="1:7" x14ac:dyDescent="0.35">
      <c r="A83" t="s">
        <v>2212</v>
      </c>
      <c r="B83" t="s">
        <v>1287</v>
      </c>
      <c r="C83" t="s">
        <v>1111</v>
      </c>
      <c r="D83" t="s">
        <v>1002</v>
      </c>
      <c r="E83" t="s">
        <v>4</v>
      </c>
      <c r="F83">
        <f>115/7.5</f>
        <v>15.333333333333334</v>
      </c>
      <c r="G83" t="s">
        <v>10</v>
      </c>
    </row>
    <row r="85" spans="1:7" x14ac:dyDescent="0.35">
      <c r="A85" t="s">
        <v>2260</v>
      </c>
      <c r="B85" t="s">
        <v>453</v>
      </c>
      <c r="C85" t="s">
        <v>1886</v>
      </c>
      <c r="D85" t="s">
        <v>122</v>
      </c>
      <c r="E85" t="s">
        <v>4</v>
      </c>
      <c r="F85">
        <f>650/16</f>
        <v>40.625</v>
      </c>
      <c r="G85" t="s">
        <v>5</v>
      </c>
    </row>
    <row r="87" spans="1:7" x14ac:dyDescent="0.35">
      <c r="A87" t="s">
        <v>2281</v>
      </c>
      <c r="B87" t="s">
        <v>1178</v>
      </c>
      <c r="C87" t="s">
        <v>2282</v>
      </c>
      <c r="D87" t="s">
        <v>1002</v>
      </c>
      <c r="E87" t="s">
        <v>4</v>
      </c>
      <c r="F87">
        <f>97/7.5</f>
        <v>12.933333333333334</v>
      </c>
      <c r="G87" t="s">
        <v>10</v>
      </c>
    </row>
    <row r="89" spans="1:7" x14ac:dyDescent="0.35">
      <c r="A89" t="s">
        <v>2314</v>
      </c>
      <c r="B89" t="s">
        <v>2315</v>
      </c>
      <c r="C89" t="s">
        <v>2316</v>
      </c>
      <c r="D89" t="s">
        <v>134</v>
      </c>
      <c r="E89" t="s">
        <v>4</v>
      </c>
      <c r="F89">
        <f>592/12</f>
        <v>49.333333333333336</v>
      </c>
      <c r="G89" t="s">
        <v>5</v>
      </c>
    </row>
    <row r="91" spans="1:7" x14ac:dyDescent="0.35">
      <c r="A91" s="1" t="s">
        <v>2375</v>
      </c>
      <c r="B91" s="1" t="s">
        <v>2376</v>
      </c>
      <c r="C91" s="1" t="s">
        <v>2377</v>
      </c>
      <c r="D91" s="1" t="s">
        <v>573</v>
      </c>
      <c r="E91" s="1" t="s">
        <v>4</v>
      </c>
      <c r="F91" s="1">
        <f>1226/90</f>
        <v>13.622222222222222</v>
      </c>
      <c r="G91" s="1" t="s">
        <v>10</v>
      </c>
    </row>
    <row r="93" spans="1:7" x14ac:dyDescent="0.35">
      <c r="A93" t="s">
        <v>2457</v>
      </c>
      <c r="B93" t="s">
        <v>2458</v>
      </c>
      <c r="C93" t="s">
        <v>1443</v>
      </c>
      <c r="D93" t="s">
        <v>164</v>
      </c>
      <c r="E93" t="s">
        <v>4</v>
      </c>
      <c r="F93">
        <f>1000/25</f>
        <v>40</v>
      </c>
      <c r="G93" t="s">
        <v>5</v>
      </c>
    </row>
    <row r="95" spans="1:7" x14ac:dyDescent="0.35">
      <c r="A95" t="s">
        <v>2529</v>
      </c>
      <c r="B95" t="s">
        <v>1502</v>
      </c>
      <c r="C95" t="s">
        <v>2530</v>
      </c>
      <c r="D95" t="s">
        <v>387</v>
      </c>
      <c r="E95" t="s">
        <v>4</v>
      </c>
      <c r="F95">
        <f>169/7</f>
        <v>24.142857142857142</v>
      </c>
      <c r="G95" t="s">
        <v>5</v>
      </c>
    </row>
    <row r="97" spans="1:7" x14ac:dyDescent="0.35">
      <c r="A97" t="s">
        <v>2606</v>
      </c>
      <c r="B97" t="s">
        <v>385</v>
      </c>
      <c r="C97" t="s">
        <v>563</v>
      </c>
      <c r="D97" t="s">
        <v>473</v>
      </c>
      <c r="E97" t="s">
        <v>4</v>
      </c>
      <c r="F97">
        <f>120/9.8</f>
        <v>12.244897959183673</v>
      </c>
      <c r="G97" t="s">
        <v>10</v>
      </c>
    </row>
    <row r="99" spans="1:7" x14ac:dyDescent="0.35">
      <c r="A99" t="s">
        <v>2976</v>
      </c>
      <c r="B99" t="s">
        <v>669</v>
      </c>
      <c r="C99" t="s">
        <v>2567</v>
      </c>
      <c r="D99" t="s">
        <v>387</v>
      </c>
      <c r="E99" t="s">
        <v>4</v>
      </c>
      <c r="F99">
        <f>54/7</f>
        <v>7.7142857142857144</v>
      </c>
      <c r="G99" t="s">
        <v>10</v>
      </c>
    </row>
    <row r="101" spans="1:7" x14ac:dyDescent="0.35">
      <c r="A101" t="s">
        <v>2981</v>
      </c>
      <c r="B101" t="s">
        <v>2982</v>
      </c>
      <c r="C101" t="s">
        <v>2983</v>
      </c>
      <c r="D101" t="s">
        <v>2984</v>
      </c>
      <c r="E101" t="s">
        <v>4</v>
      </c>
      <c r="F101">
        <f>2100/98</f>
        <v>21.428571428571427</v>
      </c>
      <c r="G101" t="s">
        <v>10</v>
      </c>
    </row>
    <row r="103" spans="1:7" x14ac:dyDescent="0.35">
      <c r="A103" t="s">
        <v>3039</v>
      </c>
      <c r="B103" t="s">
        <v>3040</v>
      </c>
      <c r="C103" t="s">
        <v>235</v>
      </c>
      <c r="D103" t="s">
        <v>1588</v>
      </c>
      <c r="E103" t="s">
        <v>4</v>
      </c>
      <c r="F103">
        <f>6600/125</f>
        <v>52.8</v>
      </c>
      <c r="G103" t="s">
        <v>5</v>
      </c>
    </row>
    <row r="105" spans="1:7" x14ac:dyDescent="0.35">
      <c r="A105" t="s">
        <v>3068</v>
      </c>
      <c r="B105" t="s">
        <v>3069</v>
      </c>
      <c r="C105" t="s">
        <v>589</v>
      </c>
      <c r="D105" t="s">
        <v>134</v>
      </c>
      <c r="E105" t="s">
        <v>4</v>
      </c>
      <c r="F105">
        <f>154/12</f>
        <v>12.833333333333334</v>
      </c>
      <c r="G105" t="s">
        <v>10</v>
      </c>
    </row>
    <row r="107" spans="1:7" x14ac:dyDescent="0.35">
      <c r="A107" t="s">
        <v>3073</v>
      </c>
      <c r="B107" t="s">
        <v>3074</v>
      </c>
      <c r="C107" t="s">
        <v>3075</v>
      </c>
      <c r="D107" t="s">
        <v>1374</v>
      </c>
      <c r="E107" t="s">
        <v>4</v>
      </c>
      <c r="F107">
        <f>2750/81</f>
        <v>33.950617283950621</v>
      </c>
      <c r="G107" t="s">
        <v>10</v>
      </c>
    </row>
    <row r="109" spans="1:7" x14ac:dyDescent="0.35">
      <c r="A109" t="s">
        <v>3089</v>
      </c>
      <c r="B109" t="s">
        <v>3090</v>
      </c>
      <c r="C109" t="s">
        <v>3091</v>
      </c>
      <c r="D109" t="s">
        <v>134</v>
      </c>
      <c r="E109" t="s">
        <v>4</v>
      </c>
      <c r="F109">
        <f>91/12</f>
        <v>7.583333333333333</v>
      </c>
      <c r="G109" t="s">
        <v>10</v>
      </c>
    </row>
    <row r="111" spans="1:7" x14ac:dyDescent="0.35">
      <c r="A111" t="s">
        <v>3148</v>
      </c>
      <c r="B111" t="s">
        <v>354</v>
      </c>
      <c r="C111" t="s">
        <v>1158</v>
      </c>
      <c r="D111" t="s">
        <v>613</v>
      </c>
      <c r="E111" t="s">
        <v>4</v>
      </c>
      <c r="F111">
        <f>361/40</f>
        <v>9.0250000000000004</v>
      </c>
      <c r="G111" t="s">
        <v>10</v>
      </c>
    </row>
    <row r="113" spans="1:7" x14ac:dyDescent="0.35">
      <c r="A113" t="s">
        <v>3167</v>
      </c>
      <c r="B113" t="s">
        <v>3168</v>
      </c>
      <c r="C113" t="s">
        <v>3169</v>
      </c>
      <c r="D113" t="s">
        <v>3170</v>
      </c>
      <c r="E113" t="s">
        <v>4</v>
      </c>
      <c r="F113">
        <f>470/875</f>
        <v>0.53714285714285714</v>
      </c>
      <c r="G113" t="s">
        <v>10</v>
      </c>
    </row>
    <row r="115" spans="1:7" x14ac:dyDescent="0.35">
      <c r="A115" t="s">
        <v>3195</v>
      </c>
      <c r="B115" t="s">
        <v>3196</v>
      </c>
      <c r="C115" t="s">
        <v>3197</v>
      </c>
      <c r="D115" t="s">
        <v>3198</v>
      </c>
      <c r="E115" t="s">
        <v>4</v>
      </c>
      <c r="F115">
        <f>54/1.3</f>
        <v>41.53846153846154</v>
      </c>
      <c r="G115" t="s">
        <v>5</v>
      </c>
    </row>
    <row r="117" spans="1:7" x14ac:dyDescent="0.35">
      <c r="A117" t="s">
        <v>3244</v>
      </c>
      <c r="B117" t="s">
        <v>3245</v>
      </c>
      <c r="C117" t="s">
        <v>3246</v>
      </c>
      <c r="D117" t="s">
        <v>1181</v>
      </c>
      <c r="E117" t="s">
        <v>4</v>
      </c>
      <c r="F117">
        <f>223/1.5</f>
        <v>148.66666666666666</v>
      </c>
      <c r="G117" t="s">
        <v>5</v>
      </c>
    </row>
    <row r="119" spans="1:7" x14ac:dyDescent="0.35">
      <c r="A119" t="s">
        <v>3431</v>
      </c>
      <c r="B119" t="s">
        <v>1677</v>
      </c>
      <c r="C119" t="s">
        <v>1971</v>
      </c>
      <c r="D119" t="s">
        <v>1112</v>
      </c>
      <c r="E119" t="s">
        <v>4</v>
      </c>
      <c r="F119">
        <f>141/6.5</f>
        <v>21.692307692307693</v>
      </c>
      <c r="G119" t="s">
        <v>10</v>
      </c>
    </row>
    <row r="121" spans="1:7" x14ac:dyDescent="0.35">
      <c r="A121" t="s">
        <v>3440</v>
      </c>
      <c r="B121" t="s">
        <v>637</v>
      </c>
      <c r="C121" t="s">
        <v>3441</v>
      </c>
      <c r="D121" t="s">
        <v>178</v>
      </c>
      <c r="E121" t="s">
        <v>4</v>
      </c>
      <c r="F121">
        <f>189/15</f>
        <v>12.6</v>
      </c>
      <c r="G121" t="s">
        <v>10</v>
      </c>
    </row>
    <row r="123" spans="1:7" x14ac:dyDescent="0.35">
      <c r="A123" t="s">
        <v>3499</v>
      </c>
      <c r="B123" t="s">
        <v>3500</v>
      </c>
      <c r="C123" t="s">
        <v>2392</v>
      </c>
      <c r="D123" t="s">
        <v>309</v>
      </c>
      <c r="E123" t="s">
        <v>4</v>
      </c>
      <c r="F123">
        <f>139/17</f>
        <v>8.1764705882352935</v>
      </c>
      <c r="G123" t="s">
        <v>10</v>
      </c>
    </row>
    <row r="125" spans="1:7" x14ac:dyDescent="0.35">
      <c r="A125" t="s">
        <v>3505</v>
      </c>
      <c r="B125" t="s">
        <v>29</v>
      </c>
    </row>
    <row r="127" spans="1:7" x14ac:dyDescent="0.35">
      <c r="A127" t="s">
        <v>3551</v>
      </c>
      <c r="B127" t="s">
        <v>3552</v>
      </c>
      <c r="C127" t="s">
        <v>3553</v>
      </c>
      <c r="D127" t="s">
        <v>86</v>
      </c>
      <c r="E127" t="s">
        <v>4</v>
      </c>
      <c r="F127">
        <f>347/22</f>
        <v>15.772727272727273</v>
      </c>
      <c r="G127" t="s">
        <v>10</v>
      </c>
    </row>
    <row r="129" spans="1:7" x14ac:dyDescent="0.35">
      <c r="A129" t="s">
        <v>3554</v>
      </c>
      <c r="B129" t="s">
        <v>2590</v>
      </c>
      <c r="C129" t="s">
        <v>3555</v>
      </c>
      <c r="D129" t="s">
        <v>269</v>
      </c>
      <c r="E129" t="s">
        <v>4</v>
      </c>
      <c r="F129">
        <f>150/3</f>
        <v>50</v>
      </c>
      <c r="G129" t="s">
        <v>5</v>
      </c>
    </row>
    <row r="131" spans="1:7" x14ac:dyDescent="0.35">
      <c r="A131" t="s">
        <v>3614</v>
      </c>
      <c r="B131" t="s">
        <v>1431</v>
      </c>
      <c r="C131" t="s">
        <v>3615</v>
      </c>
      <c r="D131" t="s">
        <v>387</v>
      </c>
      <c r="E131" t="s">
        <v>4</v>
      </c>
      <c r="F131">
        <f>1300/7</f>
        <v>185.71428571428572</v>
      </c>
      <c r="G131" t="s">
        <v>5</v>
      </c>
    </row>
    <row r="133" spans="1:7" x14ac:dyDescent="0.35">
      <c r="A133" t="s">
        <v>3653</v>
      </c>
      <c r="B133" t="s">
        <v>1372</v>
      </c>
      <c r="C133" t="s">
        <v>3654</v>
      </c>
      <c r="D133" t="s">
        <v>119</v>
      </c>
      <c r="E133" t="s">
        <v>4</v>
      </c>
      <c r="F133">
        <f>3366/59</f>
        <v>57.050847457627121</v>
      </c>
      <c r="G133" t="s">
        <v>5</v>
      </c>
    </row>
    <row r="135" spans="1:7" x14ac:dyDescent="0.35">
      <c r="A135" t="s">
        <v>1262</v>
      </c>
      <c r="B135" t="s">
        <v>496</v>
      </c>
      <c r="C135" t="s">
        <v>3660</v>
      </c>
      <c r="D135" t="s">
        <v>219</v>
      </c>
      <c r="E135" t="s">
        <v>4</v>
      </c>
      <c r="F135">
        <f>193/5.5</f>
        <v>35.090909090909093</v>
      </c>
      <c r="G135" t="s">
        <v>5</v>
      </c>
    </row>
    <row r="137" spans="1:7" x14ac:dyDescent="0.35">
      <c r="A137" t="s">
        <v>3671</v>
      </c>
      <c r="B137" t="s">
        <v>3672</v>
      </c>
      <c r="C137" t="s">
        <v>2223</v>
      </c>
      <c r="D137" t="s">
        <v>39</v>
      </c>
      <c r="E137" t="s">
        <v>4</v>
      </c>
      <c r="F137">
        <f>388/49</f>
        <v>7.9183673469387754</v>
      </c>
      <c r="G137" t="s">
        <v>10</v>
      </c>
    </row>
    <row r="139" spans="1:7" x14ac:dyDescent="0.35">
      <c r="A139" t="s">
        <v>3714</v>
      </c>
      <c r="B139" t="s">
        <v>1139</v>
      </c>
      <c r="C139" t="s">
        <v>2340</v>
      </c>
      <c r="D139" t="s">
        <v>178</v>
      </c>
      <c r="E139" t="s">
        <v>4</v>
      </c>
      <c r="F139">
        <f>1400/15</f>
        <v>93.333333333333329</v>
      </c>
      <c r="G139" t="s">
        <v>5</v>
      </c>
    </row>
    <row r="141" spans="1:7" x14ac:dyDescent="0.35">
      <c r="A141" t="s">
        <v>3716</v>
      </c>
      <c r="B141" t="s">
        <v>3717</v>
      </c>
      <c r="C141" t="s">
        <v>531</v>
      </c>
      <c r="D141" t="s">
        <v>188</v>
      </c>
      <c r="E141" t="s">
        <v>4</v>
      </c>
      <c r="F141">
        <f>90/3.5</f>
        <v>25.714285714285715</v>
      </c>
      <c r="G141" t="s">
        <v>5</v>
      </c>
    </row>
    <row r="143" spans="1:7" x14ac:dyDescent="0.35">
      <c r="A143" t="s">
        <v>3756</v>
      </c>
      <c r="B143" t="s">
        <v>1777</v>
      </c>
      <c r="C143" t="s">
        <v>3757</v>
      </c>
      <c r="D143" t="s">
        <v>1588</v>
      </c>
      <c r="E143" t="s">
        <v>4</v>
      </c>
      <c r="F143">
        <f>4590/125</f>
        <v>36.72</v>
      </c>
      <c r="G143" t="s">
        <v>5</v>
      </c>
    </row>
    <row r="145" spans="1:7" x14ac:dyDescent="0.35">
      <c r="A145" t="s">
        <v>3760</v>
      </c>
      <c r="B145" t="s">
        <v>3761</v>
      </c>
      <c r="C145" t="s">
        <v>1053</v>
      </c>
      <c r="D145" t="s">
        <v>265</v>
      </c>
      <c r="E145" t="s">
        <v>4</v>
      </c>
      <c r="F145">
        <f>518/45</f>
        <v>11.511111111111111</v>
      </c>
      <c r="G145" t="s">
        <v>10</v>
      </c>
    </row>
    <row r="147" spans="1:7" x14ac:dyDescent="0.35">
      <c r="A147" t="s">
        <v>3810</v>
      </c>
      <c r="B147" t="s">
        <v>29</v>
      </c>
      <c r="C147" t="s">
        <v>30</v>
      </c>
    </row>
    <row r="149" spans="1:7" x14ac:dyDescent="0.35">
      <c r="A149" t="s">
        <v>3822</v>
      </c>
      <c r="B149" t="s">
        <v>289</v>
      </c>
      <c r="C149" t="s">
        <v>2102</v>
      </c>
      <c r="D149" t="s">
        <v>35</v>
      </c>
      <c r="E149" t="s">
        <v>4</v>
      </c>
      <c r="F149">
        <f>186/6</f>
        <v>31</v>
      </c>
      <c r="G149" t="s">
        <v>5</v>
      </c>
    </row>
    <row r="151" spans="1:7" x14ac:dyDescent="0.35">
      <c r="A151" t="s">
        <v>3825</v>
      </c>
      <c r="B151" t="s">
        <v>2195</v>
      </c>
      <c r="C151" t="s">
        <v>1281</v>
      </c>
      <c r="D151" t="s">
        <v>815</v>
      </c>
      <c r="E151" t="s">
        <v>4</v>
      </c>
      <c r="F151">
        <f>1650/32</f>
        <v>51.5625</v>
      </c>
      <c r="G151" t="s">
        <v>5</v>
      </c>
    </row>
    <row r="153" spans="1:7" x14ac:dyDescent="0.35">
      <c r="A153" t="s">
        <v>3828</v>
      </c>
      <c r="B153" t="s">
        <v>3829</v>
      </c>
      <c r="C153" t="s">
        <v>543</v>
      </c>
      <c r="D153" t="s">
        <v>1249</v>
      </c>
      <c r="E153" t="s">
        <v>4</v>
      </c>
      <c r="F153">
        <f>1147/28</f>
        <v>40.964285714285715</v>
      </c>
      <c r="G153" t="s">
        <v>5</v>
      </c>
    </row>
    <row r="155" spans="1:7" x14ac:dyDescent="0.35">
      <c r="A155" t="s">
        <v>3906</v>
      </c>
      <c r="B155" t="s">
        <v>3907</v>
      </c>
      <c r="C155" t="s">
        <v>1520</v>
      </c>
      <c r="D155" t="s">
        <v>387</v>
      </c>
      <c r="E155" t="s">
        <v>4</v>
      </c>
      <c r="F155">
        <f>77/7</f>
        <v>11</v>
      </c>
      <c r="G155" t="s">
        <v>10</v>
      </c>
    </row>
    <row r="157" spans="1:7" x14ac:dyDescent="0.35">
      <c r="A157" t="s">
        <v>3908</v>
      </c>
      <c r="B157" t="s">
        <v>3909</v>
      </c>
      <c r="C157" t="s">
        <v>3910</v>
      </c>
      <c r="D157" t="s">
        <v>3911</v>
      </c>
      <c r="E157" t="s">
        <v>4</v>
      </c>
      <c r="F157">
        <f>11250/430</f>
        <v>26.162790697674417</v>
      </c>
      <c r="G157" t="s">
        <v>10</v>
      </c>
    </row>
    <row r="159" spans="1:7" x14ac:dyDescent="0.35">
      <c r="A159" t="s">
        <v>3947</v>
      </c>
      <c r="B159" t="s">
        <v>850</v>
      </c>
      <c r="C159" t="s">
        <v>3948</v>
      </c>
      <c r="D159" t="s">
        <v>911</v>
      </c>
      <c r="E159" t="s">
        <v>4</v>
      </c>
      <c r="F159">
        <f>486/56</f>
        <v>8.6785714285714288</v>
      </c>
      <c r="G159" t="s">
        <v>10</v>
      </c>
    </row>
    <row r="161" spans="1:7" x14ac:dyDescent="0.35">
      <c r="A161" t="s">
        <v>4031</v>
      </c>
      <c r="B161" t="s">
        <v>4032</v>
      </c>
      <c r="C161" t="s">
        <v>2890</v>
      </c>
      <c r="D161" t="s">
        <v>93</v>
      </c>
      <c r="E161" t="s">
        <v>4</v>
      </c>
      <c r="F161">
        <f>212/4.5</f>
        <v>47.111111111111114</v>
      </c>
      <c r="G161" t="s">
        <v>5</v>
      </c>
    </row>
    <row r="163" spans="1:7" x14ac:dyDescent="0.35">
      <c r="A163" t="s">
        <v>4049</v>
      </c>
      <c r="B163" t="s">
        <v>4047</v>
      </c>
      <c r="C163" t="s">
        <v>4048</v>
      </c>
      <c r="D163" t="s">
        <v>75</v>
      </c>
      <c r="E163" t="s">
        <v>4</v>
      </c>
      <c r="F163">
        <f>222/15.5</f>
        <v>14.32258064516129</v>
      </c>
      <c r="G163" t="s">
        <v>10</v>
      </c>
    </row>
    <row r="165" spans="1:7" x14ac:dyDescent="0.35">
      <c r="A165" t="s">
        <v>4069</v>
      </c>
      <c r="B165" t="s">
        <v>2402</v>
      </c>
      <c r="C165" t="s">
        <v>563</v>
      </c>
      <c r="D165" t="s">
        <v>971</v>
      </c>
      <c r="E165" t="s">
        <v>4</v>
      </c>
      <c r="F165">
        <f>77/10.5</f>
        <v>7.333333333333333</v>
      </c>
      <c r="G165" t="s">
        <v>10</v>
      </c>
    </row>
    <row r="167" spans="1:7" x14ac:dyDescent="0.35">
      <c r="A167" t="s">
        <v>4125</v>
      </c>
      <c r="B167" t="s">
        <v>966</v>
      </c>
      <c r="C167" t="s">
        <v>4126</v>
      </c>
      <c r="D167" t="s">
        <v>178</v>
      </c>
      <c r="E167" t="s">
        <v>4</v>
      </c>
      <c r="F167">
        <f>253/15</f>
        <v>16.866666666666667</v>
      </c>
      <c r="G167" t="s">
        <v>5</v>
      </c>
    </row>
    <row r="169" spans="1:7" x14ac:dyDescent="0.35">
      <c r="A169" t="s">
        <v>4160</v>
      </c>
      <c r="B169" t="s">
        <v>4161</v>
      </c>
      <c r="C169" t="s">
        <v>2728</v>
      </c>
      <c r="D169" t="s">
        <v>1002</v>
      </c>
      <c r="E169" t="s">
        <v>4</v>
      </c>
      <c r="F169">
        <f>242/7.5</f>
        <v>32.266666666666666</v>
      </c>
      <c r="G169" t="s">
        <v>5</v>
      </c>
    </row>
    <row r="171" spans="1:7" x14ac:dyDescent="0.35">
      <c r="A171" t="s">
        <v>4235</v>
      </c>
      <c r="B171" t="s">
        <v>4236</v>
      </c>
      <c r="C171" t="s">
        <v>1548</v>
      </c>
      <c r="D171" t="s">
        <v>1105</v>
      </c>
      <c r="E171" t="s">
        <v>4</v>
      </c>
      <c r="F171">
        <f>1963/80</f>
        <v>24.537500000000001</v>
      </c>
      <c r="G171" t="s">
        <v>10</v>
      </c>
    </row>
    <row r="173" spans="1:7" x14ac:dyDescent="0.35">
      <c r="A173" t="s">
        <v>4237</v>
      </c>
      <c r="B173" t="s">
        <v>124</v>
      </c>
      <c r="C173" t="s">
        <v>4238</v>
      </c>
      <c r="D173" t="s">
        <v>1191</v>
      </c>
      <c r="E173" t="s">
        <v>4</v>
      </c>
      <c r="F173">
        <f>25/1</f>
        <v>25</v>
      </c>
      <c r="G173" t="s">
        <v>5</v>
      </c>
    </row>
    <row r="175" spans="1:7" x14ac:dyDescent="0.35">
      <c r="A175" t="s">
        <v>4265</v>
      </c>
      <c r="B175" t="s">
        <v>282</v>
      </c>
      <c r="C175" t="s">
        <v>369</v>
      </c>
      <c r="D175" t="s">
        <v>1181</v>
      </c>
      <c r="E175" t="s">
        <v>4</v>
      </c>
      <c r="F175">
        <f>89/1.5</f>
        <v>59.333333333333336</v>
      </c>
      <c r="G175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B367-43C9-4F47-95A1-DF4150069239}">
  <dimension ref="A1:G11"/>
  <sheetViews>
    <sheetView workbookViewId="0">
      <selection activeCell="A13" sqref="A13"/>
    </sheetView>
  </sheetViews>
  <sheetFormatPr defaultRowHeight="14.5" x14ac:dyDescent="0.35"/>
  <sheetData>
    <row r="1" spans="1:7" x14ac:dyDescent="0.35">
      <c r="A1" s="2" t="s">
        <v>416</v>
      </c>
      <c r="B1" s="2" t="s">
        <v>417</v>
      </c>
      <c r="C1" s="2" t="s">
        <v>418</v>
      </c>
      <c r="D1" s="2" t="s">
        <v>419</v>
      </c>
      <c r="E1" s="2" t="s">
        <v>4</v>
      </c>
      <c r="F1" s="2">
        <f>3347/37</f>
        <v>90.459459459459453</v>
      </c>
      <c r="G1" s="2" t="s">
        <v>5</v>
      </c>
    </row>
    <row r="2" spans="1:7" x14ac:dyDescent="0.35">
      <c r="D2" t="s">
        <v>451</v>
      </c>
      <c r="F2" s="2">
        <f>3347/60</f>
        <v>55.783333333333331</v>
      </c>
      <c r="G2" t="s">
        <v>5</v>
      </c>
    </row>
    <row r="4" spans="1:7" x14ac:dyDescent="0.35">
      <c r="A4" t="s">
        <v>682</v>
      </c>
      <c r="B4" t="s">
        <v>683</v>
      </c>
      <c r="C4" t="s">
        <v>684</v>
      </c>
      <c r="D4" t="s">
        <v>122</v>
      </c>
      <c r="E4" t="s">
        <v>4</v>
      </c>
      <c r="F4">
        <f>520/16</f>
        <v>32.5</v>
      </c>
      <c r="G4" t="s">
        <v>5</v>
      </c>
    </row>
    <row r="5" spans="1:7" x14ac:dyDescent="0.35">
      <c r="D5" t="s">
        <v>685</v>
      </c>
      <c r="F5">
        <f>520/21</f>
        <v>24.761904761904763</v>
      </c>
      <c r="G5" t="s">
        <v>10</v>
      </c>
    </row>
    <row r="7" spans="1:7" x14ac:dyDescent="0.35">
      <c r="A7" t="s">
        <v>3292</v>
      </c>
      <c r="B7" t="s">
        <v>3293</v>
      </c>
      <c r="C7" t="s">
        <v>199</v>
      </c>
      <c r="D7" t="s">
        <v>974</v>
      </c>
      <c r="E7" t="s">
        <v>4</v>
      </c>
      <c r="F7">
        <f>1118/41</f>
        <v>27.26829268292683</v>
      </c>
      <c r="G7" t="s">
        <v>5</v>
      </c>
    </row>
    <row r="9" spans="1:7" x14ac:dyDescent="0.35">
      <c r="A9" t="s">
        <v>3643</v>
      </c>
      <c r="B9" t="s">
        <v>3644</v>
      </c>
      <c r="C9" t="s">
        <v>3645</v>
      </c>
      <c r="D9" t="s">
        <v>122</v>
      </c>
      <c r="E9" t="s">
        <v>4</v>
      </c>
      <c r="F9">
        <f>582/16</f>
        <v>36.375</v>
      </c>
      <c r="G9" t="s">
        <v>5</v>
      </c>
    </row>
    <row r="11" spans="1:7" x14ac:dyDescent="0.35">
      <c r="A11" t="s">
        <v>4223</v>
      </c>
      <c r="B11" t="s">
        <v>4224</v>
      </c>
      <c r="C11" t="s">
        <v>2305</v>
      </c>
      <c r="D11" t="s">
        <v>134</v>
      </c>
      <c r="E11" t="s">
        <v>4</v>
      </c>
      <c r="F11">
        <f>454/12</f>
        <v>37.833333333333336</v>
      </c>
      <c r="G11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4B485-3528-4CEA-9258-DDFB708EFF91}">
  <dimension ref="A1:H62"/>
  <sheetViews>
    <sheetView topLeftCell="A35" workbookViewId="0">
      <selection activeCell="A64" sqref="A64"/>
    </sheetView>
  </sheetViews>
  <sheetFormatPr defaultRowHeight="14.5" x14ac:dyDescent="0.35"/>
  <sheetData>
    <row r="1" spans="1:8" x14ac:dyDescent="0.35">
      <c r="A1" t="s">
        <v>495</v>
      </c>
      <c r="B1" t="s">
        <v>496</v>
      </c>
      <c r="C1" t="s">
        <v>497</v>
      </c>
      <c r="D1" t="s">
        <v>498</v>
      </c>
      <c r="E1" t="s">
        <v>4</v>
      </c>
      <c r="F1">
        <f>367/8</f>
        <v>45.875</v>
      </c>
      <c r="G1" t="s">
        <v>499</v>
      </c>
    </row>
    <row r="3" spans="1:8" x14ac:dyDescent="0.35">
      <c r="A3" t="s">
        <v>820</v>
      </c>
      <c r="B3" t="s">
        <v>29</v>
      </c>
      <c r="C3" t="s">
        <v>30</v>
      </c>
      <c r="D3" t="s">
        <v>31</v>
      </c>
    </row>
    <row r="5" spans="1:8" x14ac:dyDescent="0.35">
      <c r="A5" t="s">
        <v>892</v>
      </c>
      <c r="B5" t="s">
        <v>893</v>
      </c>
      <c r="C5" t="s">
        <v>894</v>
      </c>
      <c r="D5" t="s">
        <v>79</v>
      </c>
      <c r="E5" t="s">
        <v>4</v>
      </c>
      <c r="F5">
        <f>623/10</f>
        <v>62.3</v>
      </c>
      <c r="G5" t="s">
        <v>5</v>
      </c>
    </row>
    <row r="7" spans="1:8" x14ac:dyDescent="0.35">
      <c r="A7" t="s">
        <v>1211</v>
      </c>
      <c r="B7" t="s">
        <v>579</v>
      </c>
      <c r="C7" t="s">
        <v>1212</v>
      </c>
      <c r="D7" t="s">
        <v>463</v>
      </c>
      <c r="E7" t="s">
        <v>4</v>
      </c>
      <c r="F7">
        <f>804/24</f>
        <v>33.5</v>
      </c>
      <c r="G7" t="s">
        <v>5</v>
      </c>
      <c r="H7" t="s">
        <v>1213</v>
      </c>
    </row>
    <row r="9" spans="1:8" x14ac:dyDescent="0.35">
      <c r="A9" t="s">
        <v>1232</v>
      </c>
      <c r="B9" t="s">
        <v>1233</v>
      </c>
      <c r="C9" t="s">
        <v>1234</v>
      </c>
      <c r="D9" t="s">
        <v>63</v>
      </c>
      <c r="E9" t="s">
        <v>4</v>
      </c>
      <c r="F9">
        <f>2519/60</f>
        <v>41.983333333333334</v>
      </c>
      <c r="G9" t="s">
        <v>5</v>
      </c>
    </row>
    <row r="11" spans="1:8" x14ac:dyDescent="0.35">
      <c r="A11" t="s">
        <v>1246</v>
      </c>
      <c r="B11" t="s">
        <v>1247</v>
      </c>
      <c r="C11" t="s">
        <v>1248</v>
      </c>
      <c r="D11" t="s">
        <v>1249</v>
      </c>
      <c r="E11" t="s">
        <v>4</v>
      </c>
      <c r="F11">
        <f>1625/28</f>
        <v>58.035714285714285</v>
      </c>
      <c r="G11" t="s">
        <v>5</v>
      </c>
    </row>
    <row r="13" spans="1:8" x14ac:dyDescent="0.35">
      <c r="A13" t="s">
        <v>1308</v>
      </c>
      <c r="B13" t="s">
        <v>1309</v>
      </c>
      <c r="C13" t="s">
        <v>1310</v>
      </c>
      <c r="D13" t="s">
        <v>204</v>
      </c>
      <c r="E13" t="s">
        <v>4</v>
      </c>
      <c r="F13">
        <f>445/8.25</f>
        <v>53.939393939393938</v>
      </c>
      <c r="G13" t="s">
        <v>5</v>
      </c>
    </row>
    <row r="15" spans="1:8" x14ac:dyDescent="0.35">
      <c r="A15" t="s">
        <v>1486</v>
      </c>
      <c r="B15" t="s">
        <v>1487</v>
      </c>
      <c r="C15" t="s">
        <v>1488</v>
      </c>
      <c r="D15" t="s">
        <v>164</v>
      </c>
      <c r="E15" t="s">
        <v>4</v>
      </c>
      <c r="F15">
        <f>2735/25</f>
        <v>109.4</v>
      </c>
      <c r="G15" t="s">
        <v>5</v>
      </c>
    </row>
    <row r="17" spans="1:7" x14ac:dyDescent="0.35">
      <c r="A17" t="s">
        <v>1815</v>
      </c>
      <c r="B17" t="s">
        <v>1816</v>
      </c>
      <c r="C17" t="s">
        <v>359</v>
      </c>
      <c r="D17" t="s">
        <v>280</v>
      </c>
      <c r="E17" t="s">
        <v>4</v>
      </c>
      <c r="F17">
        <f>563/20</f>
        <v>28.15</v>
      </c>
      <c r="G17" t="s">
        <v>5</v>
      </c>
    </row>
    <row r="19" spans="1:7" x14ac:dyDescent="0.35">
      <c r="A19" t="s">
        <v>1823</v>
      </c>
      <c r="B19" t="s">
        <v>1824</v>
      </c>
      <c r="C19" t="s">
        <v>1825</v>
      </c>
      <c r="D19" t="s">
        <v>144</v>
      </c>
      <c r="E19" t="s">
        <v>4</v>
      </c>
      <c r="F19">
        <f>1415/30</f>
        <v>47.166666666666664</v>
      </c>
      <c r="G19" t="s">
        <v>5</v>
      </c>
    </row>
    <row r="21" spans="1:7" x14ac:dyDescent="0.35">
      <c r="A21" t="s">
        <v>1851</v>
      </c>
      <c r="B21" t="s">
        <v>202</v>
      </c>
      <c r="C21" t="s">
        <v>1852</v>
      </c>
      <c r="D21" t="s">
        <v>352</v>
      </c>
      <c r="E21" t="s">
        <v>4</v>
      </c>
      <c r="F21">
        <f>1538/18</f>
        <v>85.444444444444443</v>
      </c>
      <c r="G21" t="s">
        <v>5</v>
      </c>
    </row>
    <row r="23" spans="1:7" x14ac:dyDescent="0.35">
      <c r="A23" t="s">
        <v>2038</v>
      </c>
      <c r="B23" t="s">
        <v>2039</v>
      </c>
      <c r="C23" t="s">
        <v>2040</v>
      </c>
      <c r="D23" t="s">
        <v>2041</v>
      </c>
      <c r="E23" t="s">
        <v>4</v>
      </c>
      <c r="F23">
        <f>13800/175</f>
        <v>78.857142857142861</v>
      </c>
      <c r="G23" t="s">
        <v>5</v>
      </c>
    </row>
    <row r="24" spans="1:7" x14ac:dyDescent="0.35">
      <c r="D24" t="s">
        <v>2042</v>
      </c>
      <c r="F24">
        <f>13800/225</f>
        <v>61.333333333333336</v>
      </c>
      <c r="G24" t="s">
        <v>5</v>
      </c>
    </row>
    <row r="26" spans="1:7" x14ac:dyDescent="0.35">
      <c r="A26" t="s">
        <v>2051</v>
      </c>
      <c r="B26" t="s">
        <v>1431</v>
      </c>
      <c r="C26" t="s">
        <v>2052</v>
      </c>
      <c r="D26" t="s">
        <v>219</v>
      </c>
      <c r="E26" t="s">
        <v>4</v>
      </c>
      <c r="F26">
        <f>667/5.5</f>
        <v>121.27272727272727</v>
      </c>
      <c r="G26" t="s">
        <v>5</v>
      </c>
    </row>
    <row r="28" spans="1:7" x14ac:dyDescent="0.35">
      <c r="A28" t="s">
        <v>2508</v>
      </c>
      <c r="B28" t="s">
        <v>983</v>
      </c>
      <c r="C28" t="s">
        <v>2509</v>
      </c>
      <c r="D28" t="s">
        <v>2510</v>
      </c>
      <c r="E28" t="s">
        <v>4</v>
      </c>
      <c r="F28">
        <f>101/0.4</f>
        <v>252.5</v>
      </c>
      <c r="G28" t="s">
        <v>5</v>
      </c>
    </row>
    <row r="30" spans="1:7" x14ac:dyDescent="0.35">
      <c r="A30" t="s">
        <v>2814</v>
      </c>
      <c r="B30" t="s">
        <v>2815</v>
      </c>
      <c r="C30" t="s">
        <v>2816</v>
      </c>
      <c r="D30" t="s">
        <v>265</v>
      </c>
      <c r="E30" t="s">
        <v>4</v>
      </c>
      <c r="F30">
        <f>2801/45</f>
        <v>62.244444444444447</v>
      </c>
      <c r="G30" t="s">
        <v>5</v>
      </c>
    </row>
    <row r="32" spans="1:7" x14ac:dyDescent="0.35">
      <c r="A32" t="s">
        <v>2910</v>
      </c>
      <c r="B32" t="s">
        <v>2911</v>
      </c>
      <c r="C32" t="s">
        <v>2912</v>
      </c>
      <c r="D32" t="s">
        <v>63</v>
      </c>
      <c r="E32" t="s">
        <v>4</v>
      </c>
      <c r="F32">
        <f>2400/60</f>
        <v>40</v>
      </c>
      <c r="G32" t="s">
        <v>5</v>
      </c>
    </row>
    <row r="34" spans="1:7" x14ac:dyDescent="0.35">
      <c r="A34" t="s">
        <v>2996</v>
      </c>
      <c r="B34" t="s">
        <v>562</v>
      </c>
      <c r="C34" t="s">
        <v>2997</v>
      </c>
      <c r="D34" t="s">
        <v>269</v>
      </c>
      <c r="E34" t="s">
        <v>4</v>
      </c>
      <c r="F34">
        <f>250/3</f>
        <v>83.333333333333329</v>
      </c>
      <c r="G34" t="s">
        <v>5</v>
      </c>
    </row>
    <row r="36" spans="1:7" x14ac:dyDescent="0.35">
      <c r="A36" t="s">
        <v>3071</v>
      </c>
      <c r="B36" t="s">
        <v>1073</v>
      </c>
      <c r="C36" t="s">
        <v>3072</v>
      </c>
      <c r="D36" t="s">
        <v>164</v>
      </c>
      <c r="E36" t="s">
        <v>4</v>
      </c>
      <c r="F36">
        <f>1180/25</f>
        <v>47.2</v>
      </c>
      <c r="G36" t="s">
        <v>5</v>
      </c>
    </row>
    <row r="38" spans="1:7" x14ac:dyDescent="0.35">
      <c r="A38" t="s">
        <v>3111</v>
      </c>
      <c r="B38" t="s">
        <v>1842</v>
      </c>
      <c r="C38" t="s">
        <v>1158</v>
      </c>
      <c r="D38" t="s">
        <v>63</v>
      </c>
      <c r="E38" t="s">
        <v>4</v>
      </c>
      <c r="F38">
        <f>9374/60</f>
        <v>156.23333333333332</v>
      </c>
      <c r="G38" t="s">
        <v>5</v>
      </c>
    </row>
    <row r="40" spans="1:7" x14ac:dyDescent="0.35">
      <c r="A40" t="s">
        <v>3493</v>
      </c>
      <c r="B40" t="s">
        <v>1271</v>
      </c>
      <c r="C40" t="s">
        <v>3494</v>
      </c>
      <c r="D40" t="s">
        <v>352</v>
      </c>
      <c r="E40" t="s">
        <v>4</v>
      </c>
      <c r="F40">
        <f>937/18</f>
        <v>52.055555555555557</v>
      </c>
      <c r="G40" t="s">
        <v>5</v>
      </c>
    </row>
    <row r="42" spans="1:7" x14ac:dyDescent="0.35">
      <c r="A42" t="s">
        <v>3603</v>
      </c>
      <c r="B42" t="s">
        <v>3604</v>
      </c>
      <c r="C42" t="s">
        <v>30</v>
      </c>
    </row>
    <row r="44" spans="1:7" x14ac:dyDescent="0.35">
      <c r="A44" t="s">
        <v>3686</v>
      </c>
      <c r="B44" t="s">
        <v>930</v>
      </c>
      <c r="C44" t="s">
        <v>3687</v>
      </c>
      <c r="D44" t="s">
        <v>3688</v>
      </c>
      <c r="E44" t="s">
        <v>4</v>
      </c>
      <c r="F44">
        <f>3570/275</f>
        <v>12.981818181818182</v>
      </c>
      <c r="G44" t="s">
        <v>10</v>
      </c>
    </row>
    <row r="46" spans="1:7" x14ac:dyDescent="0.35">
      <c r="A46" t="s">
        <v>3695</v>
      </c>
      <c r="B46" t="s">
        <v>3696</v>
      </c>
      <c r="C46" t="s">
        <v>3697</v>
      </c>
      <c r="D46" t="s">
        <v>1059</v>
      </c>
      <c r="E46" t="s">
        <v>4</v>
      </c>
      <c r="F46">
        <f>900/17.5</f>
        <v>51.428571428571431</v>
      </c>
      <c r="G46" t="s">
        <v>5</v>
      </c>
    </row>
    <row r="48" spans="1:7" x14ac:dyDescent="0.35">
      <c r="A48" t="s">
        <v>3744</v>
      </c>
      <c r="B48" t="s">
        <v>514</v>
      </c>
      <c r="C48" t="s">
        <v>1064</v>
      </c>
      <c r="D48" t="s">
        <v>79</v>
      </c>
      <c r="E48" t="s">
        <v>4</v>
      </c>
      <c r="F48">
        <f>471/10</f>
        <v>47.1</v>
      </c>
      <c r="G48" t="s">
        <v>5</v>
      </c>
    </row>
    <row r="50" spans="1:7" x14ac:dyDescent="0.35">
      <c r="A50" t="s">
        <v>3769</v>
      </c>
      <c r="B50" t="s">
        <v>394</v>
      </c>
      <c r="C50" t="s">
        <v>1730</v>
      </c>
      <c r="D50" t="s">
        <v>309</v>
      </c>
      <c r="E50" t="s">
        <v>4</v>
      </c>
      <c r="F50">
        <f>1023/17</f>
        <v>60.176470588235297</v>
      </c>
      <c r="G50" t="s">
        <v>5</v>
      </c>
    </row>
    <row r="52" spans="1:7" x14ac:dyDescent="0.35">
      <c r="A52" t="s">
        <v>3770</v>
      </c>
      <c r="B52" t="s">
        <v>1521</v>
      </c>
      <c r="C52" t="s">
        <v>334</v>
      </c>
      <c r="D52" t="s">
        <v>258</v>
      </c>
      <c r="E52" t="s">
        <v>4</v>
      </c>
      <c r="F52">
        <f>370/5</f>
        <v>74</v>
      </c>
      <c r="G52" t="s">
        <v>5</v>
      </c>
    </row>
    <row r="54" spans="1:7" x14ac:dyDescent="0.35">
      <c r="A54" t="s">
        <v>3835</v>
      </c>
      <c r="B54" t="s">
        <v>2749</v>
      </c>
      <c r="C54" t="s">
        <v>3836</v>
      </c>
      <c r="D54" t="s">
        <v>280</v>
      </c>
      <c r="E54" t="s">
        <v>4</v>
      </c>
      <c r="F54">
        <f>499/20</f>
        <v>24.95</v>
      </c>
      <c r="G54" t="s">
        <v>5</v>
      </c>
    </row>
    <row r="56" spans="1:7" x14ac:dyDescent="0.35">
      <c r="A56" t="s">
        <v>3892</v>
      </c>
      <c r="B56" t="s">
        <v>3324</v>
      </c>
      <c r="C56" t="s">
        <v>3893</v>
      </c>
      <c r="D56" t="s">
        <v>3894</v>
      </c>
      <c r="E56" t="s">
        <v>4</v>
      </c>
      <c r="F56">
        <f>4150/137</f>
        <v>30.291970802919707</v>
      </c>
      <c r="G56" t="s">
        <v>10</v>
      </c>
    </row>
    <row r="58" spans="1:7" x14ac:dyDescent="0.35">
      <c r="A58" t="s">
        <v>3895</v>
      </c>
      <c r="B58" t="s">
        <v>1613</v>
      </c>
      <c r="C58" t="s">
        <v>3896</v>
      </c>
      <c r="D58" t="s">
        <v>463</v>
      </c>
      <c r="E58" t="s">
        <v>4</v>
      </c>
      <c r="F58">
        <f>1727/24</f>
        <v>71.958333333333329</v>
      </c>
      <c r="G58" t="s">
        <v>5</v>
      </c>
    </row>
    <row r="60" spans="1:7" x14ac:dyDescent="0.35">
      <c r="A60" t="s">
        <v>4024</v>
      </c>
      <c r="B60" t="s">
        <v>722</v>
      </c>
      <c r="C60" t="s">
        <v>3231</v>
      </c>
      <c r="D60" t="s">
        <v>536</v>
      </c>
      <c r="E60" t="s">
        <v>4</v>
      </c>
      <c r="F60">
        <f>18000/50</f>
        <v>360</v>
      </c>
      <c r="G60" t="s">
        <v>5</v>
      </c>
    </row>
    <row r="62" spans="1:7" x14ac:dyDescent="0.35">
      <c r="A62" t="s">
        <v>4232</v>
      </c>
      <c r="B62" t="s">
        <v>4233</v>
      </c>
      <c r="C62" t="s">
        <v>22</v>
      </c>
      <c r="D62" t="s">
        <v>23</v>
      </c>
      <c r="E62" t="s">
        <v>4</v>
      </c>
      <c r="F62">
        <f>1717/21</f>
        <v>81.761904761904759</v>
      </c>
      <c r="G62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DD23D-DE11-4506-BF1E-C7DB56141C52}">
  <dimension ref="A1:H28"/>
  <sheetViews>
    <sheetView workbookViewId="0">
      <selection activeCell="A30" sqref="A30"/>
    </sheetView>
  </sheetViews>
  <sheetFormatPr defaultRowHeight="14.5" x14ac:dyDescent="0.35"/>
  <sheetData>
    <row r="1" spans="1:7" x14ac:dyDescent="0.35">
      <c r="A1" t="s">
        <v>564</v>
      </c>
      <c r="B1" t="s">
        <v>565</v>
      </c>
      <c r="C1" t="s">
        <v>566</v>
      </c>
      <c r="D1" t="s">
        <v>269</v>
      </c>
      <c r="E1" t="s">
        <v>4</v>
      </c>
      <c r="F1">
        <f>240/3</f>
        <v>80</v>
      </c>
      <c r="G1" t="s">
        <v>5</v>
      </c>
    </row>
    <row r="3" spans="1:7" x14ac:dyDescent="0.35">
      <c r="A3" t="s">
        <v>1422</v>
      </c>
      <c r="B3" t="s">
        <v>1357</v>
      </c>
      <c r="C3" t="s">
        <v>1423</v>
      </c>
      <c r="D3" t="s">
        <v>1424</v>
      </c>
      <c r="E3" t="s">
        <v>4</v>
      </c>
      <c r="F3">
        <f>10000/350</f>
        <v>28.571428571428573</v>
      </c>
      <c r="G3" t="s">
        <v>10</v>
      </c>
    </row>
    <row r="5" spans="1:7" x14ac:dyDescent="0.35">
      <c r="A5" t="s">
        <v>1436</v>
      </c>
      <c r="B5" t="s">
        <v>29</v>
      </c>
      <c r="C5" t="s">
        <v>30</v>
      </c>
      <c r="D5" t="s">
        <v>31</v>
      </c>
    </row>
    <row r="7" spans="1:7" x14ac:dyDescent="0.35">
      <c r="A7" t="s">
        <v>1469</v>
      </c>
      <c r="B7" t="s">
        <v>1470</v>
      </c>
      <c r="C7" t="s">
        <v>1471</v>
      </c>
      <c r="D7" t="s">
        <v>1472</v>
      </c>
      <c r="E7" t="s">
        <v>4</v>
      </c>
      <c r="F7">
        <f>725/15.7</f>
        <v>46.178343949044589</v>
      </c>
      <c r="G7" t="s">
        <v>5</v>
      </c>
    </row>
    <row r="9" spans="1:7" x14ac:dyDescent="0.35">
      <c r="A9" t="s">
        <v>1770</v>
      </c>
      <c r="B9" t="s">
        <v>1771</v>
      </c>
      <c r="C9" t="s">
        <v>1772</v>
      </c>
      <c r="D9" t="s">
        <v>1773</v>
      </c>
      <c r="E9" t="s">
        <v>4</v>
      </c>
      <c r="F9">
        <f>42/0.35</f>
        <v>120.00000000000001</v>
      </c>
      <c r="G9" t="s">
        <v>5</v>
      </c>
    </row>
    <row r="11" spans="1:7" x14ac:dyDescent="0.35">
      <c r="A11" t="s">
        <v>1802</v>
      </c>
      <c r="B11" t="s">
        <v>289</v>
      </c>
      <c r="C11" t="s">
        <v>1803</v>
      </c>
      <c r="D11" t="s">
        <v>93</v>
      </c>
      <c r="E11" t="s">
        <v>4</v>
      </c>
      <c r="F11">
        <f>150/4.5</f>
        <v>33.333333333333336</v>
      </c>
      <c r="G11" t="s">
        <v>5</v>
      </c>
    </row>
    <row r="13" spans="1:7" x14ac:dyDescent="0.35">
      <c r="A13" t="s">
        <v>1936</v>
      </c>
      <c r="B13" t="s">
        <v>1287</v>
      </c>
      <c r="C13" t="s">
        <v>1937</v>
      </c>
      <c r="D13" t="s">
        <v>79</v>
      </c>
      <c r="E13" t="s">
        <v>4</v>
      </c>
      <c r="F13">
        <f>564/10</f>
        <v>56.4</v>
      </c>
      <c r="G13" t="s">
        <v>5</v>
      </c>
    </row>
    <row r="15" spans="1:7" x14ac:dyDescent="0.35">
      <c r="A15" t="s">
        <v>1939</v>
      </c>
      <c r="B15" t="s">
        <v>1940</v>
      </c>
      <c r="C15" t="s">
        <v>1941</v>
      </c>
      <c r="D15" t="s">
        <v>1942</v>
      </c>
      <c r="E15" t="s">
        <v>4</v>
      </c>
      <c r="F15">
        <f>33600/570</f>
        <v>58.94736842105263</v>
      </c>
      <c r="G15" t="s">
        <v>5</v>
      </c>
    </row>
    <row r="17" spans="1:8" x14ac:dyDescent="0.35">
      <c r="A17" t="s">
        <v>2338</v>
      </c>
      <c r="B17" t="s">
        <v>2339</v>
      </c>
      <c r="C17" t="s">
        <v>2340</v>
      </c>
      <c r="D17" t="s">
        <v>352</v>
      </c>
      <c r="E17" t="s">
        <v>4</v>
      </c>
      <c r="F17">
        <f>1030/18</f>
        <v>57.222222222222221</v>
      </c>
      <c r="G17" t="s">
        <v>5</v>
      </c>
      <c r="H17" t="s">
        <v>2341</v>
      </c>
    </row>
    <row r="19" spans="1:8" x14ac:dyDescent="0.35">
      <c r="A19" t="s">
        <v>2367</v>
      </c>
      <c r="B19" t="s">
        <v>1406</v>
      </c>
      <c r="C19" t="s">
        <v>1023</v>
      </c>
      <c r="D19" t="s">
        <v>498</v>
      </c>
      <c r="E19" t="s">
        <v>4</v>
      </c>
      <c r="F19">
        <f>377/8</f>
        <v>47.125</v>
      </c>
      <c r="G19" t="s">
        <v>5</v>
      </c>
    </row>
    <row r="21" spans="1:8" x14ac:dyDescent="0.35">
      <c r="A21" t="s">
        <v>2403</v>
      </c>
      <c r="B21" t="s">
        <v>282</v>
      </c>
      <c r="C21" t="s">
        <v>2404</v>
      </c>
      <c r="D21" t="s">
        <v>2405</v>
      </c>
      <c r="E21" t="s">
        <v>4</v>
      </c>
      <c r="F21">
        <f>161/8.3</f>
        <v>19.397590361445783</v>
      </c>
      <c r="G21" t="s">
        <v>10</v>
      </c>
    </row>
    <row r="23" spans="1:8" x14ac:dyDescent="0.35">
      <c r="A23" t="s">
        <v>2873</v>
      </c>
      <c r="B23" t="s">
        <v>2874</v>
      </c>
      <c r="C23" t="s">
        <v>2875</v>
      </c>
      <c r="D23" t="s">
        <v>1983</v>
      </c>
      <c r="E23" t="s">
        <v>4</v>
      </c>
      <c r="F23">
        <f>3950/61</f>
        <v>64.754098360655732</v>
      </c>
      <c r="G23" t="s">
        <v>5</v>
      </c>
    </row>
    <row r="25" spans="1:8" x14ac:dyDescent="0.35">
      <c r="A25" t="s">
        <v>3142</v>
      </c>
      <c r="B25" t="s">
        <v>29</v>
      </c>
      <c r="C25" t="s">
        <v>3143</v>
      </c>
      <c r="D25" t="s">
        <v>71</v>
      </c>
      <c r="E25" t="s">
        <v>4</v>
      </c>
      <c r="F25">
        <f>7500/48</f>
        <v>156.25</v>
      </c>
      <c r="G25" t="s">
        <v>5</v>
      </c>
    </row>
    <row r="26" spans="1:8" x14ac:dyDescent="0.35">
      <c r="D26" t="s">
        <v>3144</v>
      </c>
      <c r="F26">
        <f>7500/90</f>
        <v>83.333333333333329</v>
      </c>
      <c r="G26" t="s">
        <v>5</v>
      </c>
    </row>
    <row r="28" spans="1:8" x14ac:dyDescent="0.35">
      <c r="A28" t="s">
        <v>4110</v>
      </c>
      <c r="B28" t="s">
        <v>289</v>
      </c>
      <c r="C28" t="s">
        <v>4111</v>
      </c>
      <c r="D28" t="s">
        <v>1002</v>
      </c>
      <c r="E28" t="s">
        <v>4</v>
      </c>
      <c r="F28">
        <f>420/7.5</f>
        <v>56</v>
      </c>
      <c r="G2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19CC-E771-493A-AAA1-95C564451313}">
  <dimension ref="A1:H77"/>
  <sheetViews>
    <sheetView topLeftCell="A50" workbookViewId="0">
      <selection activeCell="A79" sqref="A79"/>
    </sheetView>
  </sheetViews>
  <sheetFormatPr defaultRowHeight="14.5" x14ac:dyDescent="0.35"/>
  <sheetData>
    <row r="1" spans="1:8" x14ac:dyDescent="0.35">
      <c r="A1" s="2" t="s">
        <v>20</v>
      </c>
      <c r="B1" s="2" t="s">
        <v>21</v>
      </c>
      <c r="C1" s="2" t="s">
        <v>22</v>
      </c>
      <c r="D1" s="2" t="s">
        <v>23</v>
      </c>
      <c r="E1" s="2" t="s">
        <v>4</v>
      </c>
      <c r="F1" s="2">
        <f>424/21</f>
        <v>20.19047619047619</v>
      </c>
      <c r="G1" s="2" t="s">
        <v>5</v>
      </c>
      <c r="H1" s="2"/>
    </row>
    <row r="2" spans="1:8" x14ac:dyDescent="0.35">
      <c r="A2" s="2"/>
      <c r="B2" s="2"/>
      <c r="C2" s="2"/>
      <c r="D2" s="2"/>
      <c r="E2" s="2"/>
      <c r="F2" s="2"/>
      <c r="G2" s="2"/>
      <c r="H2" s="2"/>
    </row>
    <row r="3" spans="1:8" x14ac:dyDescent="0.35">
      <c r="A3" s="2" t="s">
        <v>32</v>
      </c>
      <c r="B3" s="2" t="s">
        <v>33</v>
      </c>
      <c r="C3" s="2" t="s">
        <v>34</v>
      </c>
      <c r="D3" s="2" t="s">
        <v>35</v>
      </c>
      <c r="E3" s="2" t="s">
        <v>4</v>
      </c>
      <c r="F3" s="2">
        <f>98/6</f>
        <v>16.333333333333332</v>
      </c>
      <c r="G3" s="2" t="s">
        <v>5</v>
      </c>
      <c r="H3" s="2"/>
    </row>
    <row r="4" spans="1:8" x14ac:dyDescent="0.35">
      <c r="A4" s="2"/>
      <c r="B4" s="2"/>
      <c r="C4" s="2"/>
      <c r="D4" s="2"/>
      <c r="E4" s="2"/>
      <c r="F4" s="2"/>
      <c r="G4" s="2"/>
      <c r="H4" s="2"/>
    </row>
    <row r="5" spans="1:8" x14ac:dyDescent="0.35">
      <c r="A5" s="2" t="s">
        <v>131</v>
      </c>
      <c r="B5" s="2" t="s">
        <v>132</v>
      </c>
      <c r="C5" s="2" t="s">
        <v>133</v>
      </c>
      <c r="D5" s="2" t="s">
        <v>134</v>
      </c>
      <c r="E5" s="2" t="s">
        <v>4</v>
      </c>
      <c r="F5" s="2">
        <f>905/12</f>
        <v>75.416666666666671</v>
      </c>
      <c r="G5" s="2" t="s">
        <v>5</v>
      </c>
      <c r="H5" s="2"/>
    </row>
    <row r="7" spans="1:8" x14ac:dyDescent="0.35">
      <c r="A7" t="s">
        <v>291</v>
      </c>
      <c r="B7" t="s">
        <v>292</v>
      </c>
      <c r="C7" t="s">
        <v>293</v>
      </c>
      <c r="D7" t="s">
        <v>294</v>
      </c>
      <c r="E7" t="s">
        <v>4</v>
      </c>
      <c r="F7">
        <f>1040/42</f>
        <v>24.761904761904763</v>
      </c>
      <c r="G7" t="s">
        <v>10</v>
      </c>
    </row>
    <row r="9" spans="1:8" x14ac:dyDescent="0.35">
      <c r="A9" t="s">
        <v>529</v>
      </c>
      <c r="B9" t="s">
        <v>530</v>
      </c>
      <c r="C9" t="s">
        <v>531</v>
      </c>
      <c r="D9" t="s">
        <v>532</v>
      </c>
      <c r="E9" t="s">
        <v>4</v>
      </c>
      <c r="F9">
        <f>69/3.57</f>
        <v>19.327731092436977</v>
      </c>
      <c r="G9" t="s">
        <v>5</v>
      </c>
    </row>
    <row r="11" spans="1:8" x14ac:dyDescent="0.35">
      <c r="A11" t="s">
        <v>742</v>
      </c>
      <c r="B11" t="s">
        <v>65</v>
      </c>
      <c r="C11" t="s">
        <v>743</v>
      </c>
      <c r="D11" t="s">
        <v>219</v>
      </c>
      <c r="E11" t="s">
        <v>4</v>
      </c>
      <c r="F11">
        <f>135/5.5</f>
        <v>24.545454545454547</v>
      </c>
      <c r="G11" t="s">
        <v>5</v>
      </c>
    </row>
    <row r="13" spans="1:8" x14ac:dyDescent="0.35">
      <c r="A13" t="s">
        <v>807</v>
      </c>
      <c r="B13" t="s">
        <v>808</v>
      </c>
      <c r="C13" t="s">
        <v>809</v>
      </c>
      <c r="D13" t="s">
        <v>366</v>
      </c>
      <c r="E13" t="s">
        <v>4</v>
      </c>
      <c r="F13">
        <f>420/14</f>
        <v>30</v>
      </c>
      <c r="G13" t="s">
        <v>5</v>
      </c>
    </row>
    <row r="15" spans="1:8" x14ac:dyDescent="0.35">
      <c r="A15" t="s">
        <v>810</v>
      </c>
      <c r="B15" t="s">
        <v>811</v>
      </c>
      <c r="C15" t="s">
        <v>22</v>
      </c>
      <c r="D15" t="s">
        <v>164</v>
      </c>
      <c r="E15" t="s">
        <v>4</v>
      </c>
      <c r="F15">
        <f>1200/25</f>
        <v>48</v>
      </c>
      <c r="G15" t="s">
        <v>5</v>
      </c>
    </row>
    <row r="17" spans="1:7" x14ac:dyDescent="0.35">
      <c r="A17" t="s">
        <v>1032</v>
      </c>
      <c r="B17" t="s">
        <v>556</v>
      </c>
      <c r="C17" t="s">
        <v>1033</v>
      </c>
      <c r="D17" t="s">
        <v>19</v>
      </c>
      <c r="E17" t="s">
        <v>4</v>
      </c>
      <c r="F17">
        <f>150/9</f>
        <v>16.666666666666668</v>
      </c>
      <c r="G17" t="s">
        <v>10</v>
      </c>
    </row>
    <row r="19" spans="1:7" x14ac:dyDescent="0.35">
      <c r="A19" t="s">
        <v>1057</v>
      </c>
      <c r="B19" t="s">
        <v>1058</v>
      </c>
      <c r="C19" t="s">
        <v>330</v>
      </c>
      <c r="D19" t="s">
        <v>1059</v>
      </c>
      <c r="E19" t="s">
        <v>4</v>
      </c>
      <c r="F19">
        <f>324/17.5</f>
        <v>18.514285714285716</v>
      </c>
      <c r="G19" t="s">
        <v>10</v>
      </c>
    </row>
    <row r="21" spans="1:7" x14ac:dyDescent="0.35">
      <c r="A21" t="s">
        <v>1143</v>
      </c>
      <c r="B21" t="s">
        <v>65</v>
      </c>
      <c r="C21" t="s">
        <v>1144</v>
      </c>
      <c r="D21" t="s">
        <v>258</v>
      </c>
      <c r="E21" t="s">
        <v>4</v>
      </c>
      <c r="F21">
        <f>178/5</f>
        <v>35.6</v>
      </c>
      <c r="G21" t="s">
        <v>5</v>
      </c>
    </row>
    <row r="23" spans="1:7" x14ac:dyDescent="0.35">
      <c r="A23" t="s">
        <v>1738</v>
      </c>
      <c r="B23" t="s">
        <v>315</v>
      </c>
      <c r="C23" t="s">
        <v>1739</v>
      </c>
      <c r="D23" t="s">
        <v>366</v>
      </c>
      <c r="E23" t="s">
        <v>4</v>
      </c>
      <c r="F23">
        <f>375/14</f>
        <v>26.785714285714285</v>
      </c>
      <c r="G23" t="s">
        <v>10</v>
      </c>
    </row>
    <row r="25" spans="1:7" x14ac:dyDescent="0.35">
      <c r="A25" t="s">
        <v>2015</v>
      </c>
      <c r="B25" t="s">
        <v>2016</v>
      </c>
      <c r="C25" t="s">
        <v>2017</v>
      </c>
      <c r="D25" t="s">
        <v>119</v>
      </c>
      <c r="E25" t="s">
        <v>4</v>
      </c>
      <c r="F25">
        <f>2070/59</f>
        <v>35.084745762711862</v>
      </c>
      <c r="G25" t="s">
        <v>5</v>
      </c>
    </row>
    <row r="27" spans="1:7" x14ac:dyDescent="0.35">
      <c r="A27" t="s">
        <v>2061</v>
      </c>
      <c r="B27" t="s">
        <v>98</v>
      </c>
      <c r="C27" t="s">
        <v>2062</v>
      </c>
      <c r="D27" t="s">
        <v>79</v>
      </c>
      <c r="E27" t="s">
        <v>4</v>
      </c>
      <c r="F27">
        <f>209/10</f>
        <v>20.9</v>
      </c>
      <c r="G27" t="s">
        <v>10</v>
      </c>
    </row>
    <row r="29" spans="1:7" x14ac:dyDescent="0.35">
      <c r="A29" t="s">
        <v>2137</v>
      </c>
      <c r="B29" t="s">
        <v>299</v>
      </c>
      <c r="C29" t="s">
        <v>2138</v>
      </c>
      <c r="D29" t="s">
        <v>79</v>
      </c>
      <c r="E29" t="s">
        <v>4</v>
      </c>
      <c r="F29">
        <f>550/10</f>
        <v>55</v>
      </c>
      <c r="G29" t="s">
        <v>5</v>
      </c>
    </row>
    <row r="31" spans="1:7" x14ac:dyDescent="0.35">
      <c r="A31" t="s">
        <v>2565</v>
      </c>
      <c r="B31" t="s">
        <v>1860</v>
      </c>
      <c r="C31" t="s">
        <v>1790</v>
      </c>
      <c r="D31" t="s">
        <v>287</v>
      </c>
      <c r="E31" t="s">
        <v>4</v>
      </c>
      <c r="F31">
        <f>250/12.5</f>
        <v>20</v>
      </c>
      <c r="G31" t="s">
        <v>5</v>
      </c>
    </row>
    <row r="33" spans="1:7" x14ac:dyDescent="0.35">
      <c r="A33" t="s">
        <v>2672</v>
      </c>
      <c r="B33" t="s">
        <v>2673</v>
      </c>
      <c r="C33" t="s">
        <v>2674</v>
      </c>
      <c r="D33" t="s">
        <v>2675</v>
      </c>
      <c r="E33" t="s">
        <v>4</v>
      </c>
      <c r="F33">
        <f>163/3.5</f>
        <v>46.571428571428569</v>
      </c>
      <c r="G33" t="s">
        <v>5</v>
      </c>
    </row>
    <row r="35" spans="1:7" x14ac:dyDescent="0.35">
      <c r="A35" t="s">
        <v>2713</v>
      </c>
      <c r="B35" t="s">
        <v>725</v>
      </c>
      <c r="C35" t="s">
        <v>945</v>
      </c>
      <c r="D35" t="s">
        <v>89</v>
      </c>
      <c r="E35" t="s">
        <v>4</v>
      </c>
      <c r="F35">
        <f>132/4</f>
        <v>33</v>
      </c>
      <c r="G35" t="s">
        <v>5</v>
      </c>
    </row>
    <row r="37" spans="1:7" x14ac:dyDescent="0.35">
      <c r="A37" t="s">
        <v>2864</v>
      </c>
      <c r="B37" t="s">
        <v>568</v>
      </c>
      <c r="C37" t="s">
        <v>2865</v>
      </c>
      <c r="D37" t="s">
        <v>1249</v>
      </c>
      <c r="E37" t="s">
        <v>4</v>
      </c>
      <c r="F37">
        <f>900/28</f>
        <v>32.142857142857146</v>
      </c>
      <c r="G37" t="s">
        <v>5</v>
      </c>
    </row>
    <row r="39" spans="1:7" x14ac:dyDescent="0.35">
      <c r="A39" t="s">
        <v>3032</v>
      </c>
      <c r="B39" t="s">
        <v>3033</v>
      </c>
      <c r="C39" t="s">
        <v>3034</v>
      </c>
      <c r="D39" t="s">
        <v>178</v>
      </c>
      <c r="E39" t="s">
        <v>4</v>
      </c>
      <c r="F39">
        <f>900/15</f>
        <v>60</v>
      </c>
      <c r="G39" t="s">
        <v>5</v>
      </c>
    </row>
    <row r="41" spans="1:7" x14ac:dyDescent="0.35">
      <c r="A41" t="s">
        <v>3044</v>
      </c>
      <c r="B41" t="s">
        <v>3045</v>
      </c>
      <c r="C41" t="s">
        <v>3046</v>
      </c>
      <c r="D41" t="s">
        <v>768</v>
      </c>
      <c r="E41" t="s">
        <v>4</v>
      </c>
      <c r="F41">
        <f>636/52</f>
        <v>12.23076923076923</v>
      </c>
      <c r="G41" t="s">
        <v>10</v>
      </c>
    </row>
    <row r="43" spans="1:7" x14ac:dyDescent="0.35">
      <c r="A43" t="s">
        <v>3082</v>
      </c>
      <c r="B43" t="s">
        <v>2491</v>
      </c>
      <c r="C43" t="s">
        <v>711</v>
      </c>
      <c r="D43" t="s">
        <v>19</v>
      </c>
      <c r="E43" t="s">
        <v>4</v>
      </c>
      <c r="F43">
        <f>253/9</f>
        <v>28.111111111111111</v>
      </c>
      <c r="G43" t="s">
        <v>5</v>
      </c>
    </row>
    <row r="45" spans="1:7" x14ac:dyDescent="0.35">
      <c r="A45" t="s">
        <v>3119</v>
      </c>
      <c r="B45" t="s">
        <v>118</v>
      </c>
      <c r="C45" t="s">
        <v>3120</v>
      </c>
      <c r="D45" t="s">
        <v>834</v>
      </c>
      <c r="E45" t="s">
        <v>4</v>
      </c>
      <c r="F45">
        <f>789/47</f>
        <v>16.787234042553191</v>
      </c>
      <c r="G45" t="s">
        <v>10</v>
      </c>
    </row>
    <row r="47" spans="1:7" x14ac:dyDescent="0.35">
      <c r="A47" t="s">
        <v>3126</v>
      </c>
      <c r="B47" t="s">
        <v>3127</v>
      </c>
      <c r="C47" t="s">
        <v>199</v>
      </c>
      <c r="D47" t="s">
        <v>772</v>
      </c>
      <c r="E47" t="s">
        <v>4</v>
      </c>
      <c r="F47">
        <f>1750/44</f>
        <v>39.772727272727273</v>
      </c>
      <c r="G47" t="s">
        <v>5</v>
      </c>
    </row>
    <row r="49" spans="1:7" x14ac:dyDescent="0.35">
      <c r="A49" t="s">
        <v>3257</v>
      </c>
      <c r="B49" t="s">
        <v>992</v>
      </c>
      <c r="C49" t="s">
        <v>3234</v>
      </c>
      <c r="D49" t="s">
        <v>280</v>
      </c>
      <c r="E49" t="s">
        <v>4</v>
      </c>
      <c r="F49">
        <f>538/20</f>
        <v>26.9</v>
      </c>
      <c r="G49" t="s">
        <v>10</v>
      </c>
    </row>
    <row r="51" spans="1:7" x14ac:dyDescent="0.35">
      <c r="A51" t="s">
        <v>3618</v>
      </c>
      <c r="B51" t="s">
        <v>3619</v>
      </c>
      <c r="C51" t="s">
        <v>583</v>
      </c>
      <c r="D51" t="s">
        <v>366</v>
      </c>
      <c r="E51" t="s">
        <v>4</v>
      </c>
      <c r="F51">
        <f>213/14</f>
        <v>15.214285714285714</v>
      </c>
      <c r="G51" t="s">
        <v>10</v>
      </c>
    </row>
    <row r="53" spans="1:7" x14ac:dyDescent="0.35">
      <c r="A53" t="s">
        <v>3723</v>
      </c>
      <c r="B53" t="s">
        <v>1763</v>
      </c>
      <c r="C53" t="s">
        <v>3724</v>
      </c>
      <c r="D53" t="s">
        <v>1002</v>
      </c>
      <c r="E53" t="s">
        <v>4</v>
      </c>
      <c r="F53">
        <f>33/7.5</f>
        <v>4.4000000000000004</v>
      </c>
      <c r="G53" t="s">
        <v>10</v>
      </c>
    </row>
    <row r="55" spans="1:7" x14ac:dyDescent="0.35">
      <c r="A55" t="s">
        <v>3736</v>
      </c>
      <c r="B55" t="s">
        <v>3737</v>
      </c>
      <c r="C55" t="s">
        <v>3738</v>
      </c>
      <c r="D55" t="s">
        <v>366</v>
      </c>
      <c r="E55" t="s">
        <v>4</v>
      </c>
      <c r="F55">
        <f>128/14</f>
        <v>9.1428571428571423</v>
      </c>
      <c r="G55" t="s">
        <v>10</v>
      </c>
    </row>
    <row r="57" spans="1:7" x14ac:dyDescent="0.35">
      <c r="A57" t="s">
        <v>3788</v>
      </c>
      <c r="B57" t="s">
        <v>795</v>
      </c>
      <c r="C57" t="s">
        <v>806</v>
      </c>
      <c r="D57" t="s">
        <v>2014</v>
      </c>
      <c r="E57" t="s">
        <v>4</v>
      </c>
      <c r="F57">
        <f>2160/36</f>
        <v>60</v>
      </c>
      <c r="G57" t="s">
        <v>5</v>
      </c>
    </row>
    <row r="59" spans="1:7" x14ac:dyDescent="0.35">
      <c r="A59" t="s">
        <v>3924</v>
      </c>
      <c r="B59" t="s">
        <v>1628</v>
      </c>
      <c r="C59" t="s">
        <v>3925</v>
      </c>
      <c r="D59" t="s">
        <v>3926</v>
      </c>
      <c r="E59" t="s">
        <v>4</v>
      </c>
      <c r="F59">
        <f>85/3.67</f>
        <v>23.160762942779293</v>
      </c>
      <c r="G59" t="s">
        <v>5</v>
      </c>
    </row>
    <row r="61" spans="1:7" x14ac:dyDescent="0.35">
      <c r="A61" t="s">
        <v>4004</v>
      </c>
      <c r="B61" t="s">
        <v>784</v>
      </c>
      <c r="C61" t="s">
        <v>1020</v>
      </c>
      <c r="D61" t="s">
        <v>122</v>
      </c>
      <c r="E61" t="s">
        <v>4</v>
      </c>
      <c r="F61">
        <f>232/16</f>
        <v>14.5</v>
      </c>
      <c r="G61" t="s">
        <v>10</v>
      </c>
    </row>
    <row r="63" spans="1:7" x14ac:dyDescent="0.35">
      <c r="A63" t="s">
        <v>4005</v>
      </c>
      <c r="B63" t="s">
        <v>3184</v>
      </c>
      <c r="C63" t="s">
        <v>543</v>
      </c>
      <c r="D63" t="s">
        <v>827</v>
      </c>
      <c r="E63" t="s">
        <v>4</v>
      </c>
      <c r="F63">
        <f>610/33</f>
        <v>18.484848484848484</v>
      </c>
      <c r="G63" t="s">
        <v>10</v>
      </c>
    </row>
    <row r="65" spans="1:7" x14ac:dyDescent="0.35">
      <c r="A65" t="s">
        <v>4006</v>
      </c>
      <c r="B65" t="s">
        <v>1230</v>
      </c>
      <c r="C65" t="s">
        <v>4007</v>
      </c>
      <c r="D65" t="s">
        <v>164</v>
      </c>
      <c r="E65" t="s">
        <v>4</v>
      </c>
      <c r="F65">
        <f>146/25</f>
        <v>5.84</v>
      </c>
      <c r="G65" t="s">
        <v>10</v>
      </c>
    </row>
    <row r="67" spans="1:7" x14ac:dyDescent="0.35">
      <c r="A67" t="s">
        <v>4017</v>
      </c>
      <c r="B67" t="s">
        <v>340</v>
      </c>
      <c r="C67" t="s">
        <v>4018</v>
      </c>
      <c r="D67" t="s">
        <v>188</v>
      </c>
      <c r="E67" t="s">
        <v>4</v>
      </c>
      <c r="F67">
        <f>59/3.5</f>
        <v>16.857142857142858</v>
      </c>
      <c r="G67" t="s">
        <v>10</v>
      </c>
    </row>
    <row r="69" spans="1:7" x14ac:dyDescent="0.35">
      <c r="A69" t="s">
        <v>4094</v>
      </c>
      <c r="B69" t="s">
        <v>1694</v>
      </c>
      <c r="C69" t="s">
        <v>945</v>
      </c>
      <c r="D69" t="s">
        <v>35</v>
      </c>
      <c r="E69" t="s">
        <v>4</v>
      </c>
      <c r="F69">
        <f>409/6</f>
        <v>68.166666666666671</v>
      </c>
      <c r="G69" t="s">
        <v>5</v>
      </c>
    </row>
    <row r="71" spans="1:7" x14ac:dyDescent="0.35">
      <c r="A71" t="s">
        <v>4176</v>
      </c>
      <c r="B71" t="s">
        <v>1768</v>
      </c>
      <c r="C71" t="s">
        <v>4177</v>
      </c>
      <c r="D71" t="s">
        <v>815</v>
      </c>
      <c r="E71" t="s">
        <v>4</v>
      </c>
      <c r="F71">
        <f>837/32</f>
        <v>26.15625</v>
      </c>
      <c r="G71" t="s">
        <v>10</v>
      </c>
    </row>
    <row r="73" spans="1:7" x14ac:dyDescent="0.35">
      <c r="A73" t="s">
        <v>4227</v>
      </c>
      <c r="B73" t="s">
        <v>3424</v>
      </c>
      <c r="C73" t="s">
        <v>4228</v>
      </c>
      <c r="D73" t="s">
        <v>366</v>
      </c>
      <c r="E73" t="s">
        <v>4</v>
      </c>
      <c r="F73">
        <f>550/14</f>
        <v>39.285714285714285</v>
      </c>
      <c r="G73" t="s">
        <v>5</v>
      </c>
    </row>
    <row r="75" spans="1:7" x14ac:dyDescent="0.35">
      <c r="A75" t="s">
        <v>4268</v>
      </c>
      <c r="B75" t="s">
        <v>2394</v>
      </c>
      <c r="C75" t="s">
        <v>4269</v>
      </c>
      <c r="D75" t="s">
        <v>1002</v>
      </c>
      <c r="E75" t="s">
        <v>4</v>
      </c>
      <c r="F75">
        <f>90/7.5</f>
        <v>12</v>
      </c>
      <c r="G75" t="s">
        <v>10</v>
      </c>
    </row>
    <row r="77" spans="1:7" x14ac:dyDescent="0.35">
      <c r="A77" t="s">
        <v>4272</v>
      </c>
      <c r="B77" t="s">
        <v>4273</v>
      </c>
      <c r="C77" t="s">
        <v>826</v>
      </c>
      <c r="D77" t="s">
        <v>3100</v>
      </c>
      <c r="E77" t="s">
        <v>4</v>
      </c>
      <c r="F77">
        <f>545/75</f>
        <v>7.2666666666666666</v>
      </c>
      <c r="G77" t="s">
        <v>4274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46BB-ED7F-4AA0-AF29-3C00481F74F1}">
  <dimension ref="A1:H113"/>
  <sheetViews>
    <sheetView topLeftCell="A86" workbookViewId="0">
      <selection activeCell="A115" sqref="A115"/>
    </sheetView>
  </sheetViews>
  <sheetFormatPr defaultRowHeight="14.5" x14ac:dyDescent="0.35"/>
  <sheetData>
    <row r="1" spans="1:7" x14ac:dyDescent="0.35">
      <c r="A1" s="2" t="s">
        <v>76</v>
      </c>
      <c r="B1" s="2" t="s">
        <v>77</v>
      </c>
      <c r="C1" s="2" t="s">
        <v>78</v>
      </c>
      <c r="D1" s="2" t="s">
        <v>79</v>
      </c>
      <c r="E1" s="2" t="s">
        <v>4</v>
      </c>
      <c r="F1" s="2">
        <f>700/10</f>
        <v>70</v>
      </c>
      <c r="G1" s="2" t="s">
        <v>5</v>
      </c>
    </row>
    <row r="3" spans="1:7" x14ac:dyDescent="0.35">
      <c r="A3" t="s">
        <v>80</v>
      </c>
      <c r="B3" t="s">
        <v>81</v>
      </c>
      <c r="C3" t="s">
        <v>82</v>
      </c>
      <c r="D3" t="s">
        <v>79</v>
      </c>
      <c r="E3" t="s">
        <v>4</v>
      </c>
      <c r="F3">
        <f>174/10</f>
        <v>17.399999999999999</v>
      </c>
      <c r="G3" t="s">
        <v>10</v>
      </c>
    </row>
    <row r="5" spans="1:7" x14ac:dyDescent="0.35">
      <c r="A5" t="s">
        <v>123</v>
      </c>
      <c r="B5" t="s">
        <v>124</v>
      </c>
      <c r="C5" t="s">
        <v>125</v>
      </c>
      <c r="D5" t="s">
        <v>126</v>
      </c>
      <c r="E5" t="s">
        <v>4</v>
      </c>
      <c r="F5">
        <f>13/1.26</f>
        <v>10.317460317460318</v>
      </c>
      <c r="G5" t="s">
        <v>10</v>
      </c>
    </row>
    <row r="7" spans="1:7" x14ac:dyDescent="0.35">
      <c r="A7" s="2" t="s">
        <v>431</v>
      </c>
      <c r="B7" s="2" t="s">
        <v>432</v>
      </c>
      <c r="C7" s="2" t="s">
        <v>433</v>
      </c>
      <c r="D7" s="2" t="s">
        <v>309</v>
      </c>
      <c r="E7" s="2" t="s">
        <v>4</v>
      </c>
      <c r="F7" s="2">
        <f>948/17</f>
        <v>55.764705882352942</v>
      </c>
      <c r="G7" s="2" t="s">
        <v>5</v>
      </c>
    </row>
    <row r="8" spans="1:7" x14ac:dyDescent="0.35">
      <c r="A8" s="2"/>
      <c r="B8" s="2"/>
      <c r="C8" s="2"/>
      <c r="D8" s="2"/>
      <c r="E8" s="2"/>
      <c r="F8" s="2"/>
      <c r="G8" s="2"/>
    </row>
    <row r="9" spans="1:7" x14ac:dyDescent="0.35">
      <c r="A9" t="s">
        <v>630</v>
      </c>
      <c r="B9" t="s">
        <v>77</v>
      </c>
      <c r="C9" t="s">
        <v>631</v>
      </c>
      <c r="D9" t="s">
        <v>632</v>
      </c>
      <c r="E9" t="s">
        <v>4</v>
      </c>
      <c r="F9">
        <f>285/0.4</f>
        <v>712.5</v>
      </c>
      <c r="G9" t="s">
        <v>5</v>
      </c>
    </row>
    <row r="11" spans="1:7" x14ac:dyDescent="0.35">
      <c r="A11" t="s">
        <v>1021</v>
      </c>
      <c r="B11" t="s">
        <v>1022</v>
      </c>
      <c r="C11" t="s">
        <v>1023</v>
      </c>
      <c r="D11" t="s">
        <v>695</v>
      </c>
      <c r="E11" t="s">
        <v>4</v>
      </c>
      <c r="F11">
        <f>297/2</f>
        <v>148.5</v>
      </c>
      <c r="G11" t="s">
        <v>5</v>
      </c>
    </row>
    <row r="13" spans="1:7" x14ac:dyDescent="0.35">
      <c r="A13" t="s">
        <v>1024</v>
      </c>
      <c r="B13" t="s">
        <v>1025</v>
      </c>
      <c r="C13" t="s">
        <v>1026</v>
      </c>
      <c r="D13" t="s">
        <v>772</v>
      </c>
      <c r="E13" t="s">
        <v>4</v>
      </c>
      <c r="F13">
        <f>1175/44</f>
        <v>26.704545454545453</v>
      </c>
      <c r="G13" t="s">
        <v>5</v>
      </c>
    </row>
    <row r="15" spans="1:7" x14ac:dyDescent="0.35">
      <c r="A15" t="s">
        <v>1027</v>
      </c>
      <c r="B15" t="s">
        <v>1028</v>
      </c>
      <c r="C15" t="s">
        <v>563</v>
      </c>
      <c r="D15" t="s">
        <v>79</v>
      </c>
      <c r="E15" t="s">
        <v>4</v>
      </c>
      <c r="F15">
        <f>650/10</f>
        <v>65</v>
      </c>
      <c r="G15" t="s">
        <v>5</v>
      </c>
    </row>
    <row r="17" spans="1:8" x14ac:dyDescent="0.35">
      <c r="A17" t="s">
        <v>1138</v>
      </c>
      <c r="B17" t="s">
        <v>1139</v>
      </c>
      <c r="C17" t="s">
        <v>1140</v>
      </c>
      <c r="D17" t="s">
        <v>309</v>
      </c>
      <c r="E17" t="s">
        <v>4</v>
      </c>
      <c r="F17">
        <f>397/17</f>
        <v>23.352941176470587</v>
      </c>
      <c r="G17" t="s">
        <v>5</v>
      </c>
    </row>
    <row r="19" spans="1:8" x14ac:dyDescent="0.35">
      <c r="A19" t="s">
        <v>1157</v>
      </c>
      <c r="B19" t="s">
        <v>69</v>
      </c>
      <c r="C19" t="s">
        <v>1158</v>
      </c>
      <c r="D19" t="s">
        <v>974</v>
      </c>
      <c r="E19" t="s">
        <v>4</v>
      </c>
      <c r="F19">
        <f>1278/41</f>
        <v>31.170731707317074</v>
      </c>
      <c r="G19" t="s">
        <v>5</v>
      </c>
      <c r="H19" t="s">
        <v>1159</v>
      </c>
    </row>
    <row r="21" spans="1:8" x14ac:dyDescent="0.35">
      <c r="A21" t="s">
        <v>1267</v>
      </c>
      <c r="B21" t="s">
        <v>1268</v>
      </c>
      <c r="C21" t="s">
        <v>1269</v>
      </c>
      <c r="D21" t="s">
        <v>942</v>
      </c>
      <c r="E21" t="s">
        <v>4</v>
      </c>
      <c r="F21">
        <f>350/19</f>
        <v>18.421052631578949</v>
      </c>
      <c r="G21" t="s">
        <v>5</v>
      </c>
    </row>
    <row r="23" spans="1:8" x14ac:dyDescent="0.35">
      <c r="A23" t="s">
        <v>1305</v>
      </c>
      <c r="B23" t="s">
        <v>1306</v>
      </c>
      <c r="C23" t="s">
        <v>1307</v>
      </c>
      <c r="D23" t="s">
        <v>626</v>
      </c>
      <c r="E23" t="s">
        <v>4</v>
      </c>
      <c r="F23">
        <f>207/39</f>
        <v>5.3076923076923075</v>
      </c>
      <c r="G23" t="s">
        <v>10</v>
      </c>
    </row>
    <row r="25" spans="1:8" x14ac:dyDescent="0.35">
      <c r="A25" t="s">
        <v>1414</v>
      </c>
      <c r="B25" t="s">
        <v>29</v>
      </c>
      <c r="C25" t="s">
        <v>1415</v>
      </c>
    </row>
    <row r="27" spans="1:8" x14ac:dyDescent="0.35">
      <c r="A27" t="s">
        <v>1706</v>
      </c>
      <c r="B27" t="s">
        <v>405</v>
      </c>
      <c r="C27" t="s">
        <v>867</v>
      </c>
      <c r="D27" t="s">
        <v>1707</v>
      </c>
      <c r="E27" t="s">
        <v>4</v>
      </c>
      <c r="F27">
        <f>141/5.2</f>
        <v>27.115384615384613</v>
      </c>
      <c r="G27" t="s">
        <v>5</v>
      </c>
    </row>
    <row r="29" spans="1:8" x14ac:dyDescent="0.35">
      <c r="A29" t="s">
        <v>1906</v>
      </c>
      <c r="B29" t="s">
        <v>1907</v>
      </c>
      <c r="C29" t="s">
        <v>1569</v>
      </c>
      <c r="D29" t="s">
        <v>1059</v>
      </c>
      <c r="E29" t="s">
        <v>4</v>
      </c>
      <c r="F29">
        <f>432/17.5</f>
        <v>24.685714285714287</v>
      </c>
      <c r="G29" t="s">
        <v>5</v>
      </c>
    </row>
    <row r="31" spans="1:8" x14ac:dyDescent="0.35">
      <c r="A31" t="s">
        <v>1913</v>
      </c>
      <c r="B31" t="s">
        <v>1452</v>
      </c>
      <c r="C31" t="s">
        <v>1914</v>
      </c>
      <c r="D31" t="s">
        <v>79</v>
      </c>
      <c r="E31" t="s">
        <v>4</v>
      </c>
      <c r="F31">
        <f>195/10</f>
        <v>19.5</v>
      </c>
      <c r="G31" t="s">
        <v>5</v>
      </c>
    </row>
    <row r="33" spans="1:7" x14ac:dyDescent="0.35">
      <c r="A33" t="s">
        <v>2009</v>
      </c>
      <c r="B33" t="s">
        <v>579</v>
      </c>
      <c r="C33" t="s">
        <v>2010</v>
      </c>
      <c r="D33" t="s">
        <v>164</v>
      </c>
      <c r="E33" t="s">
        <v>4</v>
      </c>
      <c r="F33">
        <f>548/25</f>
        <v>21.92</v>
      </c>
      <c r="G33" t="s">
        <v>10</v>
      </c>
    </row>
    <row r="35" spans="1:7" x14ac:dyDescent="0.35">
      <c r="A35" t="s">
        <v>2084</v>
      </c>
      <c r="B35" t="s">
        <v>2085</v>
      </c>
      <c r="C35" t="s">
        <v>2028</v>
      </c>
      <c r="D35" t="s">
        <v>19</v>
      </c>
      <c r="E35" t="s">
        <v>4</v>
      </c>
      <c r="F35">
        <f>445/9</f>
        <v>49.444444444444443</v>
      </c>
      <c r="G35" t="s">
        <v>5</v>
      </c>
    </row>
    <row r="37" spans="1:7" x14ac:dyDescent="0.35">
      <c r="A37" t="s">
        <v>2099</v>
      </c>
      <c r="B37" t="s">
        <v>1694</v>
      </c>
      <c r="C37" t="s">
        <v>18</v>
      </c>
      <c r="D37" t="s">
        <v>2100</v>
      </c>
      <c r="E37" t="s">
        <v>4</v>
      </c>
      <c r="F37">
        <f>207/7.85</f>
        <v>26.369426751592357</v>
      </c>
      <c r="G37" t="s">
        <v>10</v>
      </c>
    </row>
    <row r="39" spans="1:7" x14ac:dyDescent="0.35">
      <c r="A39" t="s">
        <v>2204</v>
      </c>
      <c r="B39" t="s">
        <v>1</v>
      </c>
      <c r="C39" t="s">
        <v>156</v>
      </c>
      <c r="D39" t="s">
        <v>89</v>
      </c>
      <c r="E39" t="s">
        <v>4</v>
      </c>
      <c r="F39">
        <f>477/4</f>
        <v>119.25</v>
      </c>
      <c r="G39" t="s">
        <v>5</v>
      </c>
    </row>
    <row r="41" spans="1:7" x14ac:dyDescent="0.35">
      <c r="A41" t="s">
        <v>2243</v>
      </c>
      <c r="B41" t="s">
        <v>1729</v>
      </c>
      <c r="C41" t="s">
        <v>2244</v>
      </c>
      <c r="D41" t="s">
        <v>35</v>
      </c>
      <c r="E41" t="s">
        <v>4</v>
      </c>
      <c r="F41">
        <f>67/6</f>
        <v>11.166666666666666</v>
      </c>
      <c r="G41" t="s">
        <v>10</v>
      </c>
    </row>
    <row r="43" spans="1:7" x14ac:dyDescent="0.35">
      <c r="A43" t="s">
        <v>2297</v>
      </c>
      <c r="B43" t="s">
        <v>1812</v>
      </c>
      <c r="C43" t="s">
        <v>2298</v>
      </c>
      <c r="D43" t="s">
        <v>192</v>
      </c>
      <c r="E43" t="s">
        <v>4</v>
      </c>
      <c r="F43">
        <f>263/11</f>
        <v>23.90909090909091</v>
      </c>
      <c r="G43" t="s">
        <v>10</v>
      </c>
    </row>
    <row r="45" spans="1:7" x14ac:dyDescent="0.35">
      <c r="A45" t="s">
        <v>2319</v>
      </c>
      <c r="B45" t="s">
        <v>65</v>
      </c>
      <c r="C45" t="s">
        <v>2320</v>
      </c>
      <c r="D45" t="s">
        <v>89</v>
      </c>
      <c r="E45" t="s">
        <v>4</v>
      </c>
      <c r="F45">
        <f>167/4</f>
        <v>41.75</v>
      </c>
      <c r="G45" t="s">
        <v>5</v>
      </c>
    </row>
    <row r="47" spans="1:7" x14ac:dyDescent="0.35">
      <c r="A47" t="s">
        <v>2387</v>
      </c>
      <c r="B47" t="s">
        <v>29</v>
      </c>
      <c r="C47" t="s">
        <v>30</v>
      </c>
    </row>
    <row r="49" spans="1:7" x14ac:dyDescent="0.35">
      <c r="A49" t="s">
        <v>2517</v>
      </c>
      <c r="B49" t="s">
        <v>1637</v>
      </c>
      <c r="C49" t="s">
        <v>1575</v>
      </c>
      <c r="D49" t="s">
        <v>258</v>
      </c>
      <c r="E49" t="s">
        <v>4</v>
      </c>
      <c r="F49">
        <f>1102/5</f>
        <v>220.4</v>
      </c>
      <c r="G49" t="s">
        <v>5</v>
      </c>
    </row>
    <row r="51" spans="1:7" x14ac:dyDescent="0.35">
      <c r="A51" t="s">
        <v>2589</v>
      </c>
      <c r="B51" t="s">
        <v>2590</v>
      </c>
      <c r="C51" t="s">
        <v>2591</v>
      </c>
      <c r="D51" t="s">
        <v>613</v>
      </c>
      <c r="E51" t="s">
        <v>4</v>
      </c>
      <c r="F51">
        <f>528/40</f>
        <v>13.2</v>
      </c>
      <c r="G51" t="s">
        <v>10</v>
      </c>
    </row>
    <row r="53" spans="1:7" x14ac:dyDescent="0.35">
      <c r="A53" t="s">
        <v>2592</v>
      </c>
      <c r="B53" t="s">
        <v>2593</v>
      </c>
      <c r="C53" t="s">
        <v>2594</v>
      </c>
      <c r="D53" t="s">
        <v>144</v>
      </c>
      <c r="E53" t="s">
        <v>4</v>
      </c>
      <c r="F53">
        <f>185/30</f>
        <v>6.166666666666667</v>
      </c>
      <c r="G53" t="s">
        <v>10</v>
      </c>
    </row>
    <row r="55" spans="1:7" x14ac:dyDescent="0.35">
      <c r="A55" t="s">
        <v>2727</v>
      </c>
      <c r="B55" t="s">
        <v>489</v>
      </c>
      <c r="C55" t="s">
        <v>2728</v>
      </c>
      <c r="D55" t="s">
        <v>19</v>
      </c>
      <c r="E55" t="s">
        <v>4</v>
      </c>
      <c r="F55">
        <f>235/9</f>
        <v>26.111111111111111</v>
      </c>
      <c r="G55" t="s">
        <v>5</v>
      </c>
    </row>
    <row r="57" spans="1:7" x14ac:dyDescent="0.35">
      <c r="A57" t="s">
        <v>2845</v>
      </c>
      <c r="B57" t="s">
        <v>2846</v>
      </c>
      <c r="C57" t="s">
        <v>2847</v>
      </c>
      <c r="D57" t="s">
        <v>192</v>
      </c>
      <c r="E57" t="s">
        <v>4</v>
      </c>
      <c r="F57">
        <f>271/11</f>
        <v>24.636363636363637</v>
      </c>
      <c r="G57" t="s">
        <v>10</v>
      </c>
    </row>
    <row r="59" spans="1:7" x14ac:dyDescent="0.35">
      <c r="A59" t="s">
        <v>2966</v>
      </c>
      <c r="B59" t="s">
        <v>2967</v>
      </c>
      <c r="C59" t="s">
        <v>2968</v>
      </c>
      <c r="D59" t="s">
        <v>536</v>
      </c>
      <c r="E59" t="s">
        <v>4</v>
      </c>
      <c r="F59">
        <f>1500/50</f>
        <v>30</v>
      </c>
      <c r="G59" t="s">
        <v>5</v>
      </c>
    </row>
    <row r="61" spans="1:7" x14ac:dyDescent="0.35">
      <c r="A61" t="s">
        <v>3123</v>
      </c>
      <c r="B61" t="s">
        <v>29</v>
      </c>
      <c r="C61" t="s">
        <v>2479</v>
      </c>
      <c r="D61" t="s">
        <v>2041</v>
      </c>
      <c r="E61" t="s">
        <v>4</v>
      </c>
      <c r="F61">
        <f>4680/175</f>
        <v>26.742857142857144</v>
      </c>
      <c r="G61" t="s">
        <v>10</v>
      </c>
    </row>
    <row r="63" spans="1:7" x14ac:dyDescent="0.35">
      <c r="A63" t="s">
        <v>3128</v>
      </c>
      <c r="B63" t="s">
        <v>2118</v>
      </c>
      <c r="C63" t="s">
        <v>3129</v>
      </c>
      <c r="D63" t="s">
        <v>219</v>
      </c>
      <c r="E63" t="s">
        <v>4</v>
      </c>
      <c r="F63">
        <f>556/5.5</f>
        <v>101.09090909090909</v>
      </c>
      <c r="G63" t="s">
        <v>5</v>
      </c>
    </row>
    <row r="65" spans="1:7" x14ac:dyDescent="0.35">
      <c r="A65" t="s">
        <v>3171</v>
      </c>
      <c r="B65" t="s">
        <v>3172</v>
      </c>
      <c r="C65" t="s">
        <v>218</v>
      </c>
      <c r="D65" t="s">
        <v>219</v>
      </c>
      <c r="E65" t="s">
        <v>4</v>
      </c>
      <c r="F65">
        <f>175/5.5</f>
        <v>31.818181818181817</v>
      </c>
      <c r="G65" t="s">
        <v>5</v>
      </c>
    </row>
    <row r="67" spans="1:7" x14ac:dyDescent="0.35">
      <c r="A67" t="s">
        <v>3216</v>
      </c>
      <c r="B67" t="s">
        <v>3217</v>
      </c>
      <c r="C67" t="s">
        <v>1508</v>
      </c>
      <c r="D67" t="s">
        <v>35</v>
      </c>
      <c r="E67" t="s">
        <v>4</v>
      </c>
      <c r="F67">
        <f>63/6</f>
        <v>10.5</v>
      </c>
      <c r="G67" t="s">
        <v>10</v>
      </c>
    </row>
    <row r="69" spans="1:7" x14ac:dyDescent="0.35">
      <c r="A69" t="s">
        <v>3252</v>
      </c>
      <c r="B69" t="s">
        <v>3253</v>
      </c>
      <c r="C69" t="s">
        <v>3254</v>
      </c>
      <c r="D69" t="s">
        <v>971</v>
      </c>
      <c r="E69" t="s">
        <v>4</v>
      </c>
      <c r="F69">
        <f>350/10.5</f>
        <v>33.333333333333336</v>
      </c>
      <c r="G69" t="s">
        <v>5</v>
      </c>
    </row>
    <row r="71" spans="1:7" x14ac:dyDescent="0.35">
      <c r="A71" t="s">
        <v>3274</v>
      </c>
      <c r="B71" t="s">
        <v>3275</v>
      </c>
      <c r="C71" t="s">
        <v>3276</v>
      </c>
      <c r="D71" t="s">
        <v>178</v>
      </c>
      <c r="E71" t="s">
        <v>4</v>
      </c>
      <c r="F71">
        <f>182/15</f>
        <v>12.133333333333333</v>
      </c>
      <c r="G71" t="s">
        <v>10</v>
      </c>
    </row>
    <row r="73" spans="1:7" x14ac:dyDescent="0.35">
      <c r="A73" t="s">
        <v>3294</v>
      </c>
      <c r="B73" t="s">
        <v>132</v>
      </c>
      <c r="C73" t="s">
        <v>3295</v>
      </c>
      <c r="D73" t="s">
        <v>134</v>
      </c>
      <c r="E73" t="s">
        <v>4</v>
      </c>
      <c r="F73">
        <f>511/12</f>
        <v>42.583333333333336</v>
      </c>
      <c r="G73" t="s">
        <v>5</v>
      </c>
    </row>
    <row r="75" spans="1:7" x14ac:dyDescent="0.35">
      <c r="A75" t="s">
        <v>3323</v>
      </c>
      <c r="B75" t="s">
        <v>3324</v>
      </c>
      <c r="C75" t="s">
        <v>3325</v>
      </c>
      <c r="D75" t="s">
        <v>505</v>
      </c>
      <c r="E75" t="s">
        <v>4</v>
      </c>
      <c r="F75">
        <f>5874/105</f>
        <v>55.942857142857143</v>
      </c>
      <c r="G75" t="s">
        <v>5</v>
      </c>
    </row>
    <row r="77" spans="1:7" x14ac:dyDescent="0.35">
      <c r="A77" t="s">
        <v>3340</v>
      </c>
      <c r="B77" t="s">
        <v>3341</v>
      </c>
      <c r="C77" t="s">
        <v>3342</v>
      </c>
      <c r="D77" t="s">
        <v>35</v>
      </c>
      <c r="E77" t="s">
        <v>4</v>
      </c>
      <c r="F77">
        <f>111/6</f>
        <v>18.5</v>
      </c>
      <c r="G77" t="s">
        <v>10</v>
      </c>
    </row>
    <row r="79" spans="1:7" x14ac:dyDescent="0.35">
      <c r="A79" t="s">
        <v>3383</v>
      </c>
      <c r="B79" t="s">
        <v>1657</v>
      </c>
      <c r="C79" t="s">
        <v>3384</v>
      </c>
      <c r="D79" t="s">
        <v>366</v>
      </c>
      <c r="E79" t="s">
        <v>4</v>
      </c>
      <c r="F79">
        <f>216/14</f>
        <v>15.428571428571429</v>
      </c>
      <c r="G79" t="s">
        <v>10</v>
      </c>
    </row>
    <row r="81" spans="1:7" x14ac:dyDescent="0.35">
      <c r="A81" t="s">
        <v>3386</v>
      </c>
      <c r="B81" t="s">
        <v>29</v>
      </c>
      <c r="C81" t="s">
        <v>3387</v>
      </c>
      <c r="D81" t="s">
        <v>130</v>
      </c>
      <c r="E81" t="s">
        <v>4</v>
      </c>
      <c r="F81">
        <f>9700/100</f>
        <v>97</v>
      </c>
      <c r="G81" t="s">
        <v>5</v>
      </c>
    </row>
    <row r="83" spans="1:7" x14ac:dyDescent="0.35">
      <c r="A83" t="s">
        <v>3450</v>
      </c>
      <c r="B83" t="s">
        <v>69</v>
      </c>
      <c r="C83" t="s">
        <v>572</v>
      </c>
      <c r="D83" t="s">
        <v>898</v>
      </c>
      <c r="E83" t="s">
        <v>4</v>
      </c>
      <c r="F83">
        <f>1193/51</f>
        <v>23.392156862745097</v>
      </c>
      <c r="G83" t="s">
        <v>10</v>
      </c>
    </row>
    <row r="85" spans="1:7" x14ac:dyDescent="0.35">
      <c r="A85" t="s">
        <v>3486</v>
      </c>
      <c r="B85" t="s">
        <v>1022</v>
      </c>
      <c r="C85" t="s">
        <v>1577</v>
      </c>
      <c r="D85" t="s">
        <v>258</v>
      </c>
      <c r="E85" t="s">
        <v>4</v>
      </c>
      <c r="F85">
        <f>222/5</f>
        <v>44.4</v>
      </c>
      <c r="G85" t="s">
        <v>5</v>
      </c>
    </row>
    <row r="87" spans="1:7" x14ac:dyDescent="0.35">
      <c r="A87" t="s">
        <v>3520</v>
      </c>
      <c r="B87" t="s">
        <v>3233</v>
      </c>
      <c r="C87" t="s">
        <v>3521</v>
      </c>
      <c r="D87" t="s">
        <v>192</v>
      </c>
      <c r="E87" t="s">
        <v>4</v>
      </c>
      <c r="F87">
        <f>371/11</f>
        <v>33.727272727272727</v>
      </c>
      <c r="G87" t="s">
        <v>3522</v>
      </c>
    </row>
    <row r="89" spans="1:7" x14ac:dyDescent="0.35">
      <c r="A89" t="s">
        <v>3523</v>
      </c>
      <c r="B89" t="s">
        <v>3365</v>
      </c>
      <c r="C89" t="s">
        <v>1663</v>
      </c>
      <c r="D89" t="s">
        <v>23</v>
      </c>
      <c r="E89" t="s">
        <v>4</v>
      </c>
      <c r="F89">
        <f>567/21</f>
        <v>27</v>
      </c>
      <c r="G89" t="s">
        <v>5</v>
      </c>
    </row>
    <row r="91" spans="1:7" x14ac:dyDescent="0.35">
      <c r="A91" t="s">
        <v>3758</v>
      </c>
      <c r="B91" t="s">
        <v>3548</v>
      </c>
      <c r="C91" t="s">
        <v>3759</v>
      </c>
      <c r="D91" t="s">
        <v>93</v>
      </c>
      <c r="E91" t="s">
        <v>4</v>
      </c>
      <c r="F91">
        <f>30/4.5</f>
        <v>6.666666666666667</v>
      </c>
      <c r="G91" t="s">
        <v>10</v>
      </c>
    </row>
    <row r="93" spans="1:7" x14ac:dyDescent="0.35">
      <c r="A93" t="s">
        <v>3771</v>
      </c>
      <c r="B93" t="s">
        <v>3623</v>
      </c>
      <c r="C93" t="s">
        <v>3772</v>
      </c>
      <c r="D93" t="s">
        <v>23</v>
      </c>
      <c r="E93" t="s">
        <v>4</v>
      </c>
      <c r="F93">
        <f>275/21</f>
        <v>13.095238095238095</v>
      </c>
      <c r="G93" t="s">
        <v>10</v>
      </c>
    </row>
    <row r="95" spans="1:7" x14ac:dyDescent="0.35">
      <c r="A95" t="s">
        <v>3814</v>
      </c>
      <c r="B95" t="s">
        <v>1785</v>
      </c>
      <c r="C95" t="s">
        <v>3815</v>
      </c>
      <c r="D95" t="s">
        <v>178</v>
      </c>
      <c r="E95" t="s">
        <v>4</v>
      </c>
      <c r="F95">
        <f>333/15</f>
        <v>22.2</v>
      </c>
      <c r="G95" t="s">
        <v>5</v>
      </c>
    </row>
    <row r="97" spans="1:7" x14ac:dyDescent="0.35">
      <c r="A97" t="s">
        <v>3930</v>
      </c>
      <c r="B97" t="s">
        <v>3931</v>
      </c>
      <c r="C97" t="s">
        <v>320</v>
      </c>
      <c r="D97" t="s">
        <v>536</v>
      </c>
      <c r="E97" t="s">
        <v>4</v>
      </c>
      <c r="F97">
        <f>475/50</f>
        <v>9.5</v>
      </c>
      <c r="G97" t="s">
        <v>10</v>
      </c>
    </row>
    <row r="99" spans="1:7" x14ac:dyDescent="0.35">
      <c r="A99" t="s">
        <v>3949</v>
      </c>
      <c r="B99" t="s">
        <v>350</v>
      </c>
      <c r="C99" t="s">
        <v>1307</v>
      </c>
      <c r="D99" t="s">
        <v>419</v>
      </c>
      <c r="E99" t="s">
        <v>4</v>
      </c>
      <c r="F99">
        <f>224/37</f>
        <v>6.0540540540540544</v>
      </c>
      <c r="G99" t="s">
        <v>10</v>
      </c>
    </row>
    <row r="101" spans="1:7" x14ac:dyDescent="0.35">
      <c r="A101" t="s">
        <v>3950</v>
      </c>
      <c r="B101" t="s">
        <v>3951</v>
      </c>
      <c r="C101" t="s">
        <v>228</v>
      </c>
      <c r="D101" t="s">
        <v>144</v>
      </c>
      <c r="E101" t="s">
        <v>4</v>
      </c>
      <c r="F101">
        <f>361/30</f>
        <v>12.033333333333333</v>
      </c>
      <c r="G101" t="s">
        <v>10</v>
      </c>
    </row>
    <row r="103" spans="1:7" x14ac:dyDescent="0.35">
      <c r="A103" t="s">
        <v>3990</v>
      </c>
      <c r="B103" t="s">
        <v>2360</v>
      </c>
      <c r="C103" t="s">
        <v>3991</v>
      </c>
      <c r="D103" t="s">
        <v>144</v>
      </c>
      <c r="E103" t="s">
        <v>4</v>
      </c>
      <c r="F103">
        <f>358/30</f>
        <v>11.933333333333334</v>
      </c>
      <c r="G103" t="s">
        <v>10</v>
      </c>
    </row>
    <row r="105" spans="1:7" x14ac:dyDescent="0.35">
      <c r="A105" t="s">
        <v>4053</v>
      </c>
      <c r="B105" t="s">
        <v>1677</v>
      </c>
      <c r="C105" t="s">
        <v>4054</v>
      </c>
      <c r="D105" t="s">
        <v>188</v>
      </c>
      <c r="E105" t="s">
        <v>4</v>
      </c>
      <c r="F105">
        <f>50/3.5</f>
        <v>14.285714285714286</v>
      </c>
      <c r="G105" t="s">
        <v>10</v>
      </c>
    </row>
    <row r="107" spans="1:7" x14ac:dyDescent="0.35">
      <c r="A107" t="s">
        <v>4086</v>
      </c>
      <c r="B107" t="s">
        <v>242</v>
      </c>
      <c r="C107" t="s">
        <v>4087</v>
      </c>
      <c r="D107" t="s">
        <v>188</v>
      </c>
      <c r="E107" t="s">
        <v>4</v>
      </c>
      <c r="F107">
        <f>97/3.5</f>
        <v>27.714285714285715</v>
      </c>
      <c r="G107" t="s">
        <v>10</v>
      </c>
    </row>
    <row r="109" spans="1:7" x14ac:dyDescent="0.35">
      <c r="A109" t="s">
        <v>4145</v>
      </c>
      <c r="B109" t="s">
        <v>3571</v>
      </c>
      <c r="C109" t="s">
        <v>788</v>
      </c>
      <c r="D109" t="s">
        <v>35</v>
      </c>
      <c r="E109" t="s">
        <v>4</v>
      </c>
      <c r="F109">
        <f>50/6</f>
        <v>8.3333333333333339</v>
      </c>
      <c r="G109" t="s">
        <v>10</v>
      </c>
    </row>
    <row r="111" spans="1:7" x14ac:dyDescent="0.35">
      <c r="A111" t="s">
        <v>4229</v>
      </c>
      <c r="B111" t="s">
        <v>2730</v>
      </c>
      <c r="C111" t="s">
        <v>4230</v>
      </c>
      <c r="D111" t="s">
        <v>459</v>
      </c>
      <c r="E111" t="s">
        <v>4</v>
      </c>
      <c r="F111">
        <f>8500/170</f>
        <v>50</v>
      </c>
      <c r="G111" t="s">
        <v>5</v>
      </c>
    </row>
    <row r="113" spans="1:7" x14ac:dyDescent="0.35">
      <c r="A113" t="s">
        <v>4239</v>
      </c>
      <c r="B113" t="s">
        <v>997</v>
      </c>
      <c r="C113" t="s">
        <v>788</v>
      </c>
      <c r="D113" t="s">
        <v>35</v>
      </c>
      <c r="E113" t="s">
        <v>4</v>
      </c>
      <c r="F113">
        <f>134/6</f>
        <v>22.333333333333332</v>
      </c>
      <c r="G113" t="s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2EA4B-4939-4C63-AC82-2D12C5E3A3A6}">
  <dimension ref="A1:G13"/>
  <sheetViews>
    <sheetView workbookViewId="0">
      <selection activeCell="A15" sqref="A15"/>
    </sheetView>
  </sheetViews>
  <sheetFormatPr defaultRowHeight="14.5" x14ac:dyDescent="0.35"/>
  <sheetData>
    <row r="1" spans="1:7" x14ac:dyDescent="0.35">
      <c r="A1" t="s">
        <v>1034</v>
      </c>
      <c r="B1" t="s">
        <v>1035</v>
      </c>
      <c r="C1" t="s">
        <v>1036</v>
      </c>
      <c r="D1" t="s">
        <v>366</v>
      </c>
      <c r="E1" t="s">
        <v>4</v>
      </c>
      <c r="F1">
        <f>1062/14</f>
        <v>75.857142857142861</v>
      </c>
      <c r="G1" t="s">
        <v>5</v>
      </c>
    </row>
    <row r="3" spans="1:7" x14ac:dyDescent="0.35">
      <c r="A3" t="s">
        <v>1676</v>
      </c>
      <c r="B3" t="s">
        <v>1677</v>
      </c>
      <c r="C3" t="s">
        <v>1203</v>
      </c>
      <c r="D3" t="s">
        <v>1678</v>
      </c>
      <c r="E3" t="s">
        <v>4</v>
      </c>
      <c r="F3">
        <f>391/6.8</f>
        <v>57.5</v>
      </c>
      <c r="G3" t="s">
        <v>5</v>
      </c>
    </row>
    <row r="5" spans="1:7" x14ac:dyDescent="0.35">
      <c r="A5" t="s">
        <v>1892</v>
      </c>
      <c r="B5" t="s">
        <v>1893</v>
      </c>
      <c r="C5" t="s">
        <v>1894</v>
      </c>
      <c r="D5" t="s">
        <v>258</v>
      </c>
      <c r="E5" t="s">
        <v>4</v>
      </c>
      <c r="F5">
        <f>272/5</f>
        <v>54.4</v>
      </c>
      <c r="G5" t="s">
        <v>597</v>
      </c>
    </row>
    <row r="7" spans="1:7" x14ac:dyDescent="0.35">
      <c r="A7" t="s">
        <v>2490</v>
      </c>
      <c r="B7" t="s">
        <v>2491</v>
      </c>
      <c r="C7" t="s">
        <v>2492</v>
      </c>
      <c r="D7" t="s">
        <v>192</v>
      </c>
      <c r="E7" t="s">
        <v>4</v>
      </c>
      <c r="F7">
        <f>211/11</f>
        <v>19.181818181818183</v>
      </c>
      <c r="G7" t="s">
        <v>10</v>
      </c>
    </row>
    <row r="9" spans="1:7" x14ac:dyDescent="0.35">
      <c r="A9" t="s">
        <v>3103</v>
      </c>
      <c r="B9" t="s">
        <v>3104</v>
      </c>
      <c r="C9" t="s">
        <v>3105</v>
      </c>
      <c r="D9" t="s">
        <v>178</v>
      </c>
      <c r="E9" t="s">
        <v>4</v>
      </c>
      <c r="F9">
        <f>884/15</f>
        <v>58.93333333333333</v>
      </c>
      <c r="G9" t="s">
        <v>5</v>
      </c>
    </row>
    <row r="11" spans="1:7" x14ac:dyDescent="0.35">
      <c r="A11" t="s">
        <v>3209</v>
      </c>
      <c r="B11" t="s">
        <v>3210</v>
      </c>
      <c r="C11" t="s">
        <v>3211</v>
      </c>
      <c r="D11" t="s">
        <v>258</v>
      </c>
      <c r="E11" t="s">
        <v>4</v>
      </c>
      <c r="F11">
        <f>168/5</f>
        <v>33.6</v>
      </c>
      <c r="G11" t="s">
        <v>5</v>
      </c>
    </row>
    <row r="13" spans="1:7" x14ac:dyDescent="0.35">
      <c r="A13" t="s">
        <v>3705</v>
      </c>
      <c r="B13" t="s">
        <v>3706</v>
      </c>
      <c r="C13" t="s">
        <v>3707</v>
      </c>
      <c r="D13" t="s">
        <v>89</v>
      </c>
      <c r="E13" t="s">
        <v>4</v>
      </c>
      <c r="F13">
        <f>130/4</f>
        <v>32.5</v>
      </c>
      <c r="G13" t="s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88561-5727-41ED-B65C-8C91EB8C86C1}">
  <dimension ref="A1:G43"/>
  <sheetViews>
    <sheetView topLeftCell="A16" workbookViewId="0">
      <selection activeCell="A45" sqref="A45"/>
    </sheetView>
  </sheetViews>
  <sheetFormatPr defaultRowHeight="14.5" x14ac:dyDescent="0.35"/>
  <sheetData>
    <row r="1" spans="1:7" x14ac:dyDescent="0.35">
      <c r="A1" s="2" t="s">
        <v>460</v>
      </c>
      <c r="B1" s="2" t="s">
        <v>461</v>
      </c>
      <c r="C1" s="2" t="s">
        <v>462</v>
      </c>
      <c r="D1" s="2" t="s">
        <v>463</v>
      </c>
      <c r="E1" s="2" t="s">
        <v>4</v>
      </c>
      <c r="F1" s="2">
        <f>1445/24</f>
        <v>60.208333333333336</v>
      </c>
      <c r="G1" s="2" t="s">
        <v>5</v>
      </c>
    </row>
    <row r="3" spans="1:7" x14ac:dyDescent="0.35">
      <c r="A3" t="s">
        <v>738</v>
      </c>
      <c r="B3" t="s">
        <v>739</v>
      </c>
      <c r="C3" t="s">
        <v>740</v>
      </c>
      <c r="D3" t="s">
        <v>741</v>
      </c>
      <c r="E3" t="s">
        <v>4</v>
      </c>
      <c r="F3">
        <f>170/4.1</f>
        <v>41.463414634146346</v>
      </c>
      <c r="G3" t="s">
        <v>5</v>
      </c>
    </row>
    <row r="5" spans="1:7" x14ac:dyDescent="0.35">
      <c r="A5" t="s">
        <v>954</v>
      </c>
      <c r="B5" t="s">
        <v>955</v>
      </c>
      <c r="C5" t="s">
        <v>956</v>
      </c>
      <c r="D5" t="s">
        <v>144</v>
      </c>
      <c r="E5" t="s">
        <v>4</v>
      </c>
      <c r="F5">
        <f>1350/30</f>
        <v>45</v>
      </c>
      <c r="G5" t="s">
        <v>5</v>
      </c>
    </row>
    <row r="7" spans="1:7" x14ac:dyDescent="0.35">
      <c r="A7" t="s">
        <v>1129</v>
      </c>
      <c r="B7" t="s">
        <v>132</v>
      </c>
      <c r="C7" t="s">
        <v>1130</v>
      </c>
      <c r="D7" t="s">
        <v>280</v>
      </c>
      <c r="E7" t="s">
        <v>4</v>
      </c>
      <c r="F7">
        <f>840/20</f>
        <v>42</v>
      </c>
      <c r="G7" t="s">
        <v>5</v>
      </c>
    </row>
    <row r="9" spans="1:7" x14ac:dyDescent="0.35">
      <c r="A9" t="s">
        <v>1173</v>
      </c>
      <c r="B9" t="s">
        <v>1174</v>
      </c>
      <c r="C9" t="s">
        <v>1175</v>
      </c>
      <c r="D9" t="s">
        <v>1176</v>
      </c>
      <c r="E9" t="s">
        <v>4</v>
      </c>
      <c r="F9">
        <f>7880/240</f>
        <v>32.833333333333336</v>
      </c>
      <c r="G9" t="s">
        <v>5</v>
      </c>
    </row>
    <row r="11" spans="1:7" x14ac:dyDescent="0.35">
      <c r="A11" t="s">
        <v>1201</v>
      </c>
      <c r="B11" t="s">
        <v>1202</v>
      </c>
      <c r="C11" t="s">
        <v>1203</v>
      </c>
      <c r="D11" t="s">
        <v>1204</v>
      </c>
      <c r="E11" t="s">
        <v>4</v>
      </c>
      <c r="F11">
        <f>318/6.6</f>
        <v>48.181818181818187</v>
      </c>
      <c r="G11" t="s">
        <v>5</v>
      </c>
    </row>
    <row r="13" spans="1:7" x14ac:dyDescent="0.35">
      <c r="A13" t="s">
        <v>1316</v>
      </c>
      <c r="B13" t="s">
        <v>1317</v>
      </c>
      <c r="C13" t="s">
        <v>1147</v>
      </c>
      <c r="D13" t="s">
        <v>463</v>
      </c>
      <c r="E13" t="s">
        <v>4</v>
      </c>
      <c r="F13">
        <f>1723/24</f>
        <v>71.791666666666671</v>
      </c>
      <c r="G13" t="s">
        <v>5</v>
      </c>
    </row>
    <row r="15" spans="1:7" x14ac:dyDescent="0.35">
      <c r="A15" t="s">
        <v>1394</v>
      </c>
      <c r="B15" t="s">
        <v>1395</v>
      </c>
      <c r="C15" t="s">
        <v>1223</v>
      </c>
      <c r="D15" t="s">
        <v>79</v>
      </c>
      <c r="E15" t="s">
        <v>4</v>
      </c>
      <c r="F15">
        <f>578/10</f>
        <v>57.8</v>
      </c>
      <c r="G15" t="s">
        <v>5</v>
      </c>
    </row>
    <row r="17" spans="1:7" x14ac:dyDescent="0.35">
      <c r="A17" t="s">
        <v>1458</v>
      </c>
      <c r="B17" t="s">
        <v>1459</v>
      </c>
      <c r="C17" t="s">
        <v>1460</v>
      </c>
      <c r="D17" t="s">
        <v>366</v>
      </c>
      <c r="E17" t="s">
        <v>4</v>
      </c>
      <c r="F17">
        <f>1347/14</f>
        <v>96.214285714285708</v>
      </c>
      <c r="G17" t="s">
        <v>5</v>
      </c>
    </row>
    <row r="19" spans="1:7" x14ac:dyDescent="0.35">
      <c r="A19" t="s">
        <v>1850</v>
      </c>
      <c r="B19" t="s">
        <v>997</v>
      </c>
      <c r="C19" t="s">
        <v>1020</v>
      </c>
      <c r="D19" t="s">
        <v>192</v>
      </c>
      <c r="E19" t="s">
        <v>4</v>
      </c>
      <c r="F19">
        <f>493/11</f>
        <v>44.81818181818182</v>
      </c>
      <c r="G19" t="s">
        <v>5</v>
      </c>
    </row>
    <row r="21" spans="1:7" x14ac:dyDescent="0.35">
      <c r="A21" t="s">
        <v>2047</v>
      </c>
      <c r="B21" t="s">
        <v>2048</v>
      </c>
      <c r="C21" t="s">
        <v>275</v>
      </c>
      <c r="D21" t="s">
        <v>352</v>
      </c>
      <c r="E21" t="s">
        <v>4</v>
      </c>
      <c r="F21">
        <f>750/18</f>
        <v>41.666666666666664</v>
      </c>
      <c r="G21" t="s">
        <v>5</v>
      </c>
    </row>
    <row r="23" spans="1:7" x14ac:dyDescent="0.35">
      <c r="A23" t="s">
        <v>2193</v>
      </c>
      <c r="B23" t="s">
        <v>29</v>
      </c>
    </row>
    <row r="25" spans="1:7" x14ac:dyDescent="0.35">
      <c r="A25" t="s">
        <v>2250</v>
      </c>
      <c r="B25" t="s">
        <v>2080</v>
      </c>
      <c r="C25" t="s">
        <v>2251</v>
      </c>
      <c r="D25" t="s">
        <v>134</v>
      </c>
      <c r="E25" t="s">
        <v>4</v>
      </c>
      <c r="F25">
        <f>502/12</f>
        <v>41.833333333333336</v>
      </c>
      <c r="G25" t="s">
        <v>5</v>
      </c>
    </row>
    <row r="27" spans="1:7" x14ac:dyDescent="0.35">
      <c r="A27" s="1" t="s">
        <v>2354</v>
      </c>
      <c r="B27" s="1" t="s">
        <v>1230</v>
      </c>
      <c r="C27" s="1" t="s">
        <v>2355</v>
      </c>
      <c r="D27" s="1" t="s">
        <v>750</v>
      </c>
      <c r="E27" s="1" t="s">
        <v>4</v>
      </c>
      <c r="F27" s="1">
        <f>616/25.5</f>
        <v>24.156862745098039</v>
      </c>
      <c r="G27" s="1" t="s">
        <v>10</v>
      </c>
    </row>
    <row r="29" spans="1:7" x14ac:dyDescent="0.35">
      <c r="A29" t="s">
        <v>2459</v>
      </c>
      <c r="B29" t="s">
        <v>2460</v>
      </c>
      <c r="C29" t="s">
        <v>2199</v>
      </c>
      <c r="D29" t="s">
        <v>1112</v>
      </c>
      <c r="E29" t="s">
        <v>4</v>
      </c>
      <c r="F29">
        <f>245/6.5</f>
        <v>37.692307692307693</v>
      </c>
      <c r="G29" t="s">
        <v>5</v>
      </c>
    </row>
    <row r="31" spans="1:7" x14ac:dyDescent="0.35">
      <c r="A31" t="s">
        <v>1156</v>
      </c>
      <c r="B31" t="s">
        <v>41</v>
      </c>
      <c r="C31" t="s">
        <v>2496</v>
      </c>
      <c r="D31" t="s">
        <v>593</v>
      </c>
      <c r="E31" t="s">
        <v>4</v>
      </c>
      <c r="F31">
        <f>855/27</f>
        <v>31.666666666666668</v>
      </c>
      <c r="G31" t="s">
        <v>597</v>
      </c>
    </row>
    <row r="33" spans="1:7" x14ac:dyDescent="0.35">
      <c r="A33" t="s">
        <v>2748</v>
      </c>
      <c r="B33" t="s">
        <v>2749</v>
      </c>
      <c r="C33" t="s">
        <v>1460</v>
      </c>
      <c r="D33" t="s">
        <v>192</v>
      </c>
      <c r="E33" t="s">
        <v>4</v>
      </c>
      <c r="F33">
        <f>354/11</f>
        <v>32.18181818181818</v>
      </c>
      <c r="G33" t="s">
        <v>5</v>
      </c>
    </row>
    <row r="35" spans="1:7" x14ac:dyDescent="0.35">
      <c r="A35" t="s">
        <v>2822</v>
      </c>
      <c r="B35" t="s">
        <v>65</v>
      </c>
      <c r="C35" t="s">
        <v>218</v>
      </c>
      <c r="D35" t="s">
        <v>258</v>
      </c>
      <c r="E35" t="s">
        <v>4</v>
      </c>
      <c r="F35">
        <f>340/5</f>
        <v>68</v>
      </c>
      <c r="G35" t="s">
        <v>5</v>
      </c>
    </row>
    <row r="37" spans="1:7" x14ac:dyDescent="0.35">
      <c r="A37" t="s">
        <v>2830</v>
      </c>
      <c r="B37" t="s">
        <v>132</v>
      </c>
      <c r="C37" t="s">
        <v>2831</v>
      </c>
      <c r="D37" t="s">
        <v>178</v>
      </c>
      <c r="E37" t="s">
        <v>4</v>
      </c>
      <c r="F37">
        <f>349/15</f>
        <v>23.266666666666666</v>
      </c>
      <c r="G37" t="s">
        <v>10</v>
      </c>
    </row>
    <row r="39" spans="1:7" x14ac:dyDescent="0.35">
      <c r="A39" t="s">
        <v>3359</v>
      </c>
      <c r="B39" t="s">
        <v>3360</v>
      </c>
      <c r="C39" t="s">
        <v>3361</v>
      </c>
      <c r="D39" t="s">
        <v>593</v>
      </c>
      <c r="E39" t="s">
        <v>4</v>
      </c>
      <c r="F39">
        <f>475/27</f>
        <v>17.592592592592592</v>
      </c>
      <c r="G39" t="s">
        <v>10</v>
      </c>
    </row>
    <row r="41" spans="1:7" x14ac:dyDescent="0.35">
      <c r="A41" t="s">
        <v>3587</v>
      </c>
      <c r="B41" t="s">
        <v>3548</v>
      </c>
      <c r="C41" t="s">
        <v>3588</v>
      </c>
      <c r="D41" t="s">
        <v>463</v>
      </c>
      <c r="E41" t="s">
        <v>4</v>
      </c>
      <c r="F41">
        <f>1500/24</f>
        <v>62.5</v>
      </c>
      <c r="G41" t="s">
        <v>5</v>
      </c>
    </row>
    <row r="43" spans="1:7" x14ac:dyDescent="0.35">
      <c r="A43" t="s">
        <v>4266</v>
      </c>
      <c r="B43" t="s">
        <v>734</v>
      </c>
      <c r="C43" t="s">
        <v>4267</v>
      </c>
      <c r="D43" t="s">
        <v>772</v>
      </c>
      <c r="E43" t="s">
        <v>4</v>
      </c>
      <c r="F43">
        <f>900/44</f>
        <v>20.454545454545453</v>
      </c>
      <c r="G43" t="s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AE20-3522-449C-BA66-79A51B9A369E}">
  <dimension ref="A1:G33"/>
  <sheetViews>
    <sheetView topLeftCell="A6" workbookViewId="0">
      <selection activeCell="A35" sqref="A35"/>
    </sheetView>
  </sheetViews>
  <sheetFormatPr defaultRowHeight="14.5" x14ac:dyDescent="0.35"/>
  <sheetData>
    <row r="1" spans="1:7" x14ac:dyDescent="0.35">
      <c r="A1" s="1" t="s">
        <v>633</v>
      </c>
      <c r="B1" s="1" t="s">
        <v>634</v>
      </c>
      <c r="C1" s="1" t="s">
        <v>635</v>
      </c>
      <c r="D1" s="1" t="s">
        <v>287</v>
      </c>
      <c r="E1" s="1" t="s">
        <v>4</v>
      </c>
      <c r="F1" s="1">
        <f>320/12.5</f>
        <v>25.6</v>
      </c>
      <c r="G1" s="1" t="s">
        <v>5</v>
      </c>
    </row>
    <row r="3" spans="1:7" x14ac:dyDescent="0.35">
      <c r="A3" s="2" t="s">
        <v>869</v>
      </c>
      <c r="B3" s="2" t="s">
        <v>870</v>
      </c>
      <c r="C3" s="2" t="s">
        <v>871</v>
      </c>
      <c r="D3" s="2" t="s">
        <v>872</v>
      </c>
      <c r="E3" s="2" t="s">
        <v>4</v>
      </c>
      <c r="F3" s="2">
        <f>1240/18.5</f>
        <v>67.027027027027032</v>
      </c>
      <c r="G3" s="2" t="s">
        <v>5</v>
      </c>
    </row>
    <row r="4" spans="1:7" x14ac:dyDescent="0.35">
      <c r="A4" s="2"/>
      <c r="B4" s="2"/>
      <c r="C4" s="2"/>
      <c r="D4" s="2"/>
      <c r="E4" s="2"/>
      <c r="F4" s="2"/>
      <c r="G4" s="2"/>
    </row>
    <row r="5" spans="1:7" x14ac:dyDescent="0.35">
      <c r="A5" s="2" t="s">
        <v>964</v>
      </c>
      <c r="B5" s="2" t="s">
        <v>57</v>
      </c>
      <c r="C5" s="2" t="s">
        <v>583</v>
      </c>
      <c r="D5" s="2" t="s">
        <v>366</v>
      </c>
      <c r="E5" s="2" t="s">
        <v>4</v>
      </c>
      <c r="F5" s="2">
        <f>747/14</f>
        <v>53.357142857142854</v>
      </c>
      <c r="G5" s="2" t="s">
        <v>5</v>
      </c>
    </row>
    <row r="6" spans="1:7" x14ac:dyDescent="0.35">
      <c r="A6" s="2"/>
      <c r="B6" s="2"/>
      <c r="C6" s="2"/>
      <c r="D6" s="2"/>
      <c r="E6" s="2"/>
      <c r="F6" s="2"/>
      <c r="G6" s="2"/>
    </row>
    <row r="7" spans="1:7" x14ac:dyDescent="0.35">
      <c r="A7" s="2" t="s">
        <v>984</v>
      </c>
      <c r="B7" s="2" t="s">
        <v>511</v>
      </c>
      <c r="C7" s="2" t="s">
        <v>985</v>
      </c>
      <c r="D7" s="2" t="s">
        <v>178</v>
      </c>
      <c r="E7" s="2" t="s">
        <v>4</v>
      </c>
      <c r="F7" s="2">
        <f>1180/15</f>
        <v>78.666666666666671</v>
      </c>
      <c r="G7" s="2" t="s">
        <v>5</v>
      </c>
    </row>
    <row r="8" spans="1:7" x14ac:dyDescent="0.35">
      <c r="A8" s="2"/>
      <c r="B8" s="2"/>
      <c r="C8" s="2"/>
      <c r="D8" s="2"/>
      <c r="E8" s="2"/>
      <c r="F8" s="2"/>
      <c r="G8" s="2"/>
    </row>
    <row r="9" spans="1:7" x14ac:dyDescent="0.35">
      <c r="A9" s="2" t="s">
        <v>1356</v>
      </c>
      <c r="B9" s="2" t="s">
        <v>1357</v>
      </c>
      <c r="C9" s="2" t="s">
        <v>1358</v>
      </c>
      <c r="D9" s="2" t="s">
        <v>1359</v>
      </c>
      <c r="E9" s="2" t="s">
        <v>4</v>
      </c>
      <c r="F9" s="2">
        <f>8275/195</f>
        <v>42.435897435897438</v>
      </c>
      <c r="G9" s="2" t="s">
        <v>5</v>
      </c>
    </row>
    <row r="10" spans="1:7" x14ac:dyDescent="0.35">
      <c r="A10" s="2"/>
      <c r="B10" s="2"/>
      <c r="C10" s="2"/>
      <c r="D10" s="2"/>
      <c r="E10" s="2"/>
      <c r="F10" s="2"/>
      <c r="G10" s="2"/>
    </row>
    <row r="11" spans="1:7" x14ac:dyDescent="0.35">
      <c r="A11" s="2" t="s">
        <v>1451</v>
      </c>
      <c r="B11" s="2" t="s">
        <v>1452</v>
      </c>
      <c r="C11" s="2" t="s">
        <v>1453</v>
      </c>
      <c r="D11" s="2" t="s">
        <v>1454</v>
      </c>
      <c r="E11" s="2" t="s">
        <v>4</v>
      </c>
      <c r="F11" s="2">
        <f>515/11.5</f>
        <v>44.782608695652172</v>
      </c>
      <c r="G11" s="2" t="s">
        <v>5</v>
      </c>
    </row>
    <row r="12" spans="1:7" x14ac:dyDescent="0.35">
      <c r="A12" s="2"/>
      <c r="B12" s="2"/>
      <c r="C12" s="2"/>
      <c r="D12" s="2"/>
      <c r="E12" s="2"/>
      <c r="F12" s="2"/>
      <c r="G12" s="2"/>
    </row>
    <row r="13" spans="1:7" x14ac:dyDescent="0.35">
      <c r="A13" s="2" t="s">
        <v>1503</v>
      </c>
      <c r="B13" s="2" t="s">
        <v>1504</v>
      </c>
      <c r="C13" s="2" t="s">
        <v>1505</v>
      </c>
      <c r="D13" s="2" t="s">
        <v>834</v>
      </c>
      <c r="E13" s="2" t="s">
        <v>4</v>
      </c>
      <c r="F13" s="2">
        <f>2113/47</f>
        <v>44.957446808510639</v>
      </c>
      <c r="G13" s="2" t="s">
        <v>597</v>
      </c>
    </row>
    <row r="15" spans="1:7" x14ac:dyDescent="0.35">
      <c r="A15" t="s">
        <v>1561</v>
      </c>
      <c r="B15" t="s">
        <v>1562</v>
      </c>
      <c r="C15" t="s">
        <v>1563</v>
      </c>
      <c r="D15" t="s">
        <v>1564</v>
      </c>
      <c r="E15" t="s">
        <v>4</v>
      </c>
      <c r="F15">
        <f>11766/340</f>
        <v>34.60588235294118</v>
      </c>
      <c r="G15" t="s">
        <v>10</v>
      </c>
    </row>
    <row r="17" spans="1:7" x14ac:dyDescent="0.35">
      <c r="A17" t="s">
        <v>1568</v>
      </c>
      <c r="B17" t="s">
        <v>1538</v>
      </c>
      <c r="C17" t="s">
        <v>1569</v>
      </c>
      <c r="D17" t="s">
        <v>1059</v>
      </c>
      <c r="E17" t="s">
        <v>4</v>
      </c>
      <c r="F17">
        <f>1332/17.5</f>
        <v>76.114285714285714</v>
      </c>
      <c r="G17" t="s">
        <v>5</v>
      </c>
    </row>
    <row r="19" spans="1:7" x14ac:dyDescent="0.35">
      <c r="A19" t="s">
        <v>2171</v>
      </c>
      <c r="B19" t="s">
        <v>2172</v>
      </c>
      <c r="C19" t="s">
        <v>2173</v>
      </c>
      <c r="D19" t="s">
        <v>19</v>
      </c>
      <c r="E19" t="s">
        <v>4</v>
      </c>
      <c r="F19">
        <f>127/9</f>
        <v>14.111111111111111</v>
      </c>
      <c r="G19" t="s">
        <v>10</v>
      </c>
    </row>
    <row r="21" spans="1:7" x14ac:dyDescent="0.35">
      <c r="A21" t="s">
        <v>2194</v>
      </c>
      <c r="B21" t="s">
        <v>2195</v>
      </c>
      <c r="C21" t="s">
        <v>1272</v>
      </c>
      <c r="D21" t="s">
        <v>86</v>
      </c>
      <c r="E21" t="s">
        <v>4</v>
      </c>
      <c r="F21">
        <f>489/22</f>
        <v>22.227272727272727</v>
      </c>
      <c r="G21" t="s">
        <v>10</v>
      </c>
    </row>
    <row r="23" spans="1:7" x14ac:dyDescent="0.35">
      <c r="A23" t="s">
        <v>2373</v>
      </c>
      <c r="B23" t="s">
        <v>132</v>
      </c>
      <c r="C23" t="s">
        <v>2374</v>
      </c>
      <c r="D23" t="s">
        <v>134</v>
      </c>
      <c r="E23" t="s">
        <v>4</v>
      </c>
      <c r="F23">
        <f>217/12</f>
        <v>18.083333333333332</v>
      </c>
      <c r="G23" t="s">
        <v>10</v>
      </c>
    </row>
    <row r="25" spans="1:7" x14ac:dyDescent="0.35">
      <c r="A25" t="s">
        <v>2511</v>
      </c>
      <c r="B25" t="s">
        <v>2512</v>
      </c>
      <c r="C25" t="s">
        <v>806</v>
      </c>
      <c r="D25" t="s">
        <v>974</v>
      </c>
      <c r="E25" t="s">
        <v>4</v>
      </c>
      <c r="F25">
        <f>335/41</f>
        <v>8.1707317073170724</v>
      </c>
      <c r="G25" t="s">
        <v>10</v>
      </c>
    </row>
    <row r="27" spans="1:7" x14ac:dyDescent="0.35">
      <c r="A27" t="s">
        <v>2921</v>
      </c>
      <c r="B27" t="s">
        <v>1227</v>
      </c>
      <c r="C27" t="s">
        <v>602</v>
      </c>
      <c r="D27" t="s">
        <v>677</v>
      </c>
      <c r="E27" t="s">
        <v>4</v>
      </c>
      <c r="F27">
        <f>250/9.5</f>
        <v>26.315789473684209</v>
      </c>
      <c r="G27" t="s">
        <v>5</v>
      </c>
    </row>
    <row r="29" spans="1:7" x14ac:dyDescent="0.35">
      <c r="A29" t="s">
        <v>3608</v>
      </c>
      <c r="B29" t="s">
        <v>1417</v>
      </c>
      <c r="C29" t="s">
        <v>3408</v>
      </c>
      <c r="D29" t="s">
        <v>309</v>
      </c>
      <c r="E29" t="s">
        <v>4</v>
      </c>
      <c r="F29">
        <f>522/17</f>
        <v>30.705882352941178</v>
      </c>
      <c r="G29" t="s">
        <v>5</v>
      </c>
    </row>
    <row r="31" spans="1:7" x14ac:dyDescent="0.35">
      <c r="A31" t="s">
        <v>3678</v>
      </c>
      <c r="B31" t="s">
        <v>1547</v>
      </c>
      <c r="C31" t="s">
        <v>3679</v>
      </c>
      <c r="D31" t="s">
        <v>613</v>
      </c>
      <c r="E31" t="s">
        <v>4</v>
      </c>
      <c r="F31">
        <f>2400/40</f>
        <v>60</v>
      </c>
      <c r="G31" t="s">
        <v>5</v>
      </c>
    </row>
    <row r="33" spans="1:7" x14ac:dyDescent="0.35">
      <c r="A33" t="s">
        <v>3833</v>
      </c>
      <c r="B33" t="s">
        <v>3834</v>
      </c>
      <c r="C33" t="s">
        <v>3474</v>
      </c>
      <c r="D33" t="s">
        <v>258</v>
      </c>
      <c r="E33" t="s">
        <v>4</v>
      </c>
      <c r="F33">
        <f>650/5</f>
        <v>130</v>
      </c>
      <c r="G33" t="s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87C4-DE26-4A8D-AC1A-60BCE3E7901C}">
  <dimension ref="A1:G3"/>
  <sheetViews>
    <sheetView workbookViewId="0">
      <selection activeCell="A5" sqref="A5"/>
    </sheetView>
  </sheetViews>
  <sheetFormatPr defaultRowHeight="14.5" x14ac:dyDescent="0.35"/>
  <sheetData>
    <row r="1" spans="1:7" x14ac:dyDescent="0.35">
      <c r="A1" t="s">
        <v>266</v>
      </c>
      <c r="B1" t="s">
        <v>267</v>
      </c>
      <c r="C1" t="s">
        <v>268</v>
      </c>
      <c r="D1" t="s">
        <v>269</v>
      </c>
      <c r="E1" t="s">
        <v>4</v>
      </c>
      <c r="F1">
        <f>90/3</f>
        <v>30</v>
      </c>
      <c r="G1" t="s">
        <v>5</v>
      </c>
    </row>
    <row r="3" spans="1:7" x14ac:dyDescent="0.35">
      <c r="A3" t="s">
        <v>2140</v>
      </c>
      <c r="B3" t="s">
        <v>368</v>
      </c>
      <c r="C3" t="s">
        <v>2141</v>
      </c>
      <c r="D3" t="s">
        <v>2142</v>
      </c>
      <c r="E3" t="s">
        <v>4</v>
      </c>
      <c r="F3">
        <f>277/2.72</f>
        <v>101.83823529411764</v>
      </c>
      <c r="G3" t="s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DD8A-FDEE-4CF0-91F5-715E60891DBE}">
  <dimension ref="A1:G62"/>
  <sheetViews>
    <sheetView topLeftCell="A36" workbookViewId="0">
      <selection activeCell="A64" sqref="A64"/>
    </sheetView>
  </sheetViews>
  <sheetFormatPr defaultRowHeight="14.5" x14ac:dyDescent="0.35"/>
  <sheetData>
    <row r="1" spans="1:7" x14ac:dyDescent="0.35">
      <c r="A1" t="s">
        <v>1148</v>
      </c>
      <c r="B1" t="s">
        <v>817</v>
      </c>
      <c r="C1" t="s">
        <v>1149</v>
      </c>
      <c r="D1" t="s">
        <v>164</v>
      </c>
      <c r="E1" t="s">
        <v>4</v>
      </c>
      <c r="F1">
        <f>1188/25</f>
        <v>47.52</v>
      </c>
      <c r="G1" t="s">
        <v>5</v>
      </c>
    </row>
    <row r="3" spans="1:7" x14ac:dyDescent="0.35">
      <c r="A3" t="s">
        <v>1493</v>
      </c>
      <c r="B3" t="s">
        <v>665</v>
      </c>
      <c r="C3" t="s">
        <v>1111</v>
      </c>
      <c r="D3" t="s">
        <v>498</v>
      </c>
      <c r="E3" t="s">
        <v>4</v>
      </c>
      <c r="F3">
        <f>195/8</f>
        <v>24.375</v>
      </c>
      <c r="G3" t="s">
        <v>5</v>
      </c>
    </row>
    <row r="5" spans="1:7" x14ac:dyDescent="0.35">
      <c r="A5" t="s">
        <v>1664</v>
      </c>
      <c r="B5" t="s">
        <v>628</v>
      </c>
      <c r="C5" t="s">
        <v>552</v>
      </c>
      <c r="D5" t="s">
        <v>819</v>
      </c>
      <c r="E5" t="s">
        <v>4</v>
      </c>
      <c r="F5">
        <f>1350/29</f>
        <v>46.551724137931032</v>
      </c>
      <c r="G5" t="s">
        <v>5</v>
      </c>
    </row>
    <row r="7" spans="1:7" x14ac:dyDescent="0.35">
      <c r="A7" t="s">
        <v>1667</v>
      </c>
      <c r="B7" t="s">
        <v>648</v>
      </c>
      <c r="C7" t="s">
        <v>1668</v>
      </c>
      <c r="D7" t="s">
        <v>1669</v>
      </c>
      <c r="E7" t="s">
        <v>4</v>
      </c>
      <c r="F7">
        <f>36/0.9</f>
        <v>40</v>
      </c>
      <c r="G7" t="s">
        <v>5</v>
      </c>
    </row>
    <row r="8" spans="1:7" x14ac:dyDescent="0.35">
      <c r="D8" t="s">
        <v>762</v>
      </c>
      <c r="F8">
        <f>36/1.6</f>
        <v>22.5</v>
      </c>
      <c r="G8" t="s">
        <v>10</v>
      </c>
    </row>
    <row r="10" spans="1:7" x14ac:dyDescent="0.35">
      <c r="A10" t="s">
        <v>1731</v>
      </c>
      <c r="B10" t="s">
        <v>1732</v>
      </c>
      <c r="C10" t="s">
        <v>1733</v>
      </c>
      <c r="D10" t="s">
        <v>352</v>
      </c>
      <c r="E10" t="s">
        <v>4</v>
      </c>
      <c r="F10">
        <f>800/18</f>
        <v>44.444444444444443</v>
      </c>
      <c r="G10" t="s">
        <v>597</v>
      </c>
    </row>
    <row r="11" spans="1:7" x14ac:dyDescent="0.35">
      <c r="D11" t="s">
        <v>1734</v>
      </c>
      <c r="F11">
        <f>800/24</f>
        <v>33.333333333333336</v>
      </c>
      <c r="G11" t="s">
        <v>597</v>
      </c>
    </row>
    <row r="13" spans="1:7" x14ac:dyDescent="0.35">
      <c r="A13" t="s">
        <v>1920</v>
      </c>
      <c r="B13" t="s">
        <v>1921</v>
      </c>
      <c r="C13" t="s">
        <v>1922</v>
      </c>
      <c r="D13" t="s">
        <v>93</v>
      </c>
      <c r="E13" t="s">
        <v>4</v>
      </c>
      <c r="F13">
        <f>128/4.5</f>
        <v>28.444444444444443</v>
      </c>
      <c r="G13" t="s">
        <v>5</v>
      </c>
    </row>
    <row r="15" spans="1:7" x14ac:dyDescent="0.35">
      <c r="A15" t="s">
        <v>1969</v>
      </c>
      <c r="B15" t="s">
        <v>1970</v>
      </c>
      <c r="C15" t="s">
        <v>1971</v>
      </c>
      <c r="D15" t="s">
        <v>1972</v>
      </c>
      <c r="E15" t="s">
        <v>4</v>
      </c>
      <c r="F15">
        <f>240/6.2</f>
        <v>38.70967741935484</v>
      </c>
      <c r="G15" t="s">
        <v>5</v>
      </c>
    </row>
    <row r="17" spans="1:7" x14ac:dyDescent="0.35">
      <c r="A17" s="1" t="s">
        <v>2034</v>
      </c>
      <c r="B17" s="1" t="s">
        <v>2035</v>
      </c>
      <c r="C17" s="1" t="s">
        <v>2036</v>
      </c>
      <c r="D17" s="1" t="s">
        <v>2037</v>
      </c>
      <c r="E17" s="1" t="s">
        <v>4</v>
      </c>
      <c r="F17" s="1">
        <f>4577/155</f>
        <v>29.529032258064515</v>
      </c>
      <c r="G17" s="1" t="s">
        <v>10</v>
      </c>
    </row>
    <row r="19" spans="1:7" x14ac:dyDescent="0.35">
      <c r="A19" t="s">
        <v>2117</v>
      </c>
      <c r="B19" t="s">
        <v>2118</v>
      </c>
      <c r="C19" t="s">
        <v>2119</v>
      </c>
      <c r="D19" t="s">
        <v>2120</v>
      </c>
      <c r="E19" t="s">
        <v>4</v>
      </c>
      <c r="F19">
        <f>446/4.25</f>
        <v>104.94117647058823</v>
      </c>
      <c r="G19" t="s">
        <v>5</v>
      </c>
    </row>
    <row r="21" spans="1:7" x14ac:dyDescent="0.35">
      <c r="A21" s="1" t="s">
        <v>2153</v>
      </c>
      <c r="B21" s="1" t="s">
        <v>2151</v>
      </c>
      <c r="C21" s="1" t="s">
        <v>2152</v>
      </c>
      <c r="D21" s="1" t="s">
        <v>23</v>
      </c>
      <c r="E21" s="1" t="s">
        <v>4</v>
      </c>
      <c r="F21" s="1">
        <f>394/21</f>
        <v>18.761904761904763</v>
      </c>
      <c r="G21" s="1" t="s">
        <v>10</v>
      </c>
    </row>
    <row r="23" spans="1:7" x14ac:dyDescent="0.35">
      <c r="A23" t="s">
        <v>2270</v>
      </c>
      <c r="B23" t="s">
        <v>227</v>
      </c>
      <c r="C23" t="s">
        <v>2271</v>
      </c>
      <c r="D23" t="s">
        <v>27</v>
      </c>
      <c r="E23" t="s">
        <v>4</v>
      </c>
      <c r="F23">
        <f>1900/35</f>
        <v>54.285714285714285</v>
      </c>
      <c r="G23" t="s">
        <v>5</v>
      </c>
    </row>
    <row r="25" spans="1:7" x14ac:dyDescent="0.35">
      <c r="A25" t="s">
        <v>2541</v>
      </c>
      <c r="B25" t="s">
        <v>2542</v>
      </c>
      <c r="C25" t="s">
        <v>2543</v>
      </c>
      <c r="D25" t="s">
        <v>891</v>
      </c>
      <c r="E25" t="s">
        <v>4</v>
      </c>
      <c r="F25">
        <f>5380/220</f>
        <v>24.454545454545453</v>
      </c>
      <c r="G25" t="s">
        <v>10</v>
      </c>
    </row>
    <row r="27" spans="1:7" x14ac:dyDescent="0.35">
      <c r="A27" t="s">
        <v>2566</v>
      </c>
      <c r="B27" t="s">
        <v>1319</v>
      </c>
      <c r="C27" t="s">
        <v>1111</v>
      </c>
      <c r="D27" t="s">
        <v>1002</v>
      </c>
      <c r="E27" t="s">
        <v>4</v>
      </c>
      <c r="F27">
        <f>595/7.5</f>
        <v>79.333333333333329</v>
      </c>
      <c r="G27" t="s">
        <v>5</v>
      </c>
    </row>
    <row r="29" spans="1:7" x14ac:dyDescent="0.35">
      <c r="A29" t="s">
        <v>2657</v>
      </c>
      <c r="B29" t="s">
        <v>210</v>
      </c>
      <c r="C29" t="s">
        <v>2658</v>
      </c>
      <c r="D29" t="s">
        <v>280</v>
      </c>
      <c r="E29" t="s">
        <v>4</v>
      </c>
      <c r="F29">
        <f>712/20</f>
        <v>35.6</v>
      </c>
      <c r="G29" t="s">
        <v>5</v>
      </c>
    </row>
    <row r="31" spans="1:7" x14ac:dyDescent="0.35">
      <c r="A31" t="s">
        <v>2681</v>
      </c>
      <c r="B31" t="s">
        <v>435</v>
      </c>
      <c r="C31" t="s">
        <v>2682</v>
      </c>
      <c r="D31" t="s">
        <v>1457</v>
      </c>
      <c r="E31" t="s">
        <v>4</v>
      </c>
      <c r="F31">
        <f>437/13.5</f>
        <v>32.370370370370374</v>
      </c>
      <c r="G31" t="s">
        <v>5</v>
      </c>
    </row>
    <row r="32" spans="1:7" x14ac:dyDescent="0.35">
      <c r="D32" t="s">
        <v>280</v>
      </c>
      <c r="F32">
        <f>437/20</f>
        <v>21.85</v>
      </c>
      <c r="G32" t="s">
        <v>10</v>
      </c>
    </row>
    <row r="34" spans="1:7" x14ac:dyDescent="0.35">
      <c r="A34" t="s">
        <v>2711</v>
      </c>
      <c r="B34" t="s">
        <v>1402</v>
      </c>
      <c r="C34" t="s">
        <v>2712</v>
      </c>
      <c r="D34" t="s">
        <v>178</v>
      </c>
      <c r="E34" t="s">
        <v>4</v>
      </c>
      <c r="F34">
        <f>1020/15</f>
        <v>68</v>
      </c>
      <c r="G34" t="s">
        <v>5</v>
      </c>
    </row>
    <row r="36" spans="1:7" x14ac:dyDescent="0.35">
      <c r="A36" t="s">
        <v>2798</v>
      </c>
      <c r="B36" t="s">
        <v>1035</v>
      </c>
      <c r="C36" t="s">
        <v>2799</v>
      </c>
      <c r="D36" t="s">
        <v>1059</v>
      </c>
      <c r="E36" t="s">
        <v>4</v>
      </c>
      <c r="F36">
        <f>665/17.5</f>
        <v>38</v>
      </c>
      <c r="G36" t="s">
        <v>5</v>
      </c>
    </row>
    <row r="38" spans="1:7" x14ac:dyDescent="0.35">
      <c r="A38" t="s">
        <v>2992</v>
      </c>
      <c r="B38" t="s">
        <v>514</v>
      </c>
      <c r="C38" t="s">
        <v>2993</v>
      </c>
      <c r="D38" t="s">
        <v>35</v>
      </c>
      <c r="E38" t="s">
        <v>4</v>
      </c>
      <c r="F38">
        <f>385/6</f>
        <v>64.166666666666671</v>
      </c>
      <c r="G38" t="s">
        <v>5</v>
      </c>
    </row>
    <row r="40" spans="1:7" x14ac:dyDescent="0.35">
      <c r="A40" t="s">
        <v>3070</v>
      </c>
      <c r="B40" t="s">
        <v>808</v>
      </c>
      <c r="C40" t="s">
        <v>2504</v>
      </c>
      <c r="D40" t="s">
        <v>19</v>
      </c>
      <c r="E40" t="s">
        <v>4</v>
      </c>
      <c r="F40">
        <f>189/9</f>
        <v>21</v>
      </c>
      <c r="G40" t="s">
        <v>10</v>
      </c>
    </row>
    <row r="42" spans="1:7" x14ac:dyDescent="0.35">
      <c r="A42" t="s">
        <v>3189</v>
      </c>
      <c r="B42" t="s">
        <v>1110</v>
      </c>
      <c r="C42" t="s">
        <v>3190</v>
      </c>
      <c r="D42" t="s">
        <v>258</v>
      </c>
      <c r="E42" t="s">
        <v>4</v>
      </c>
      <c r="F42">
        <f>107/5</f>
        <v>21.4</v>
      </c>
      <c r="G42" t="s">
        <v>5</v>
      </c>
    </row>
    <row r="44" spans="1:7" x14ac:dyDescent="0.35">
      <c r="A44" t="s">
        <v>3316</v>
      </c>
      <c r="B44" t="s">
        <v>2248</v>
      </c>
      <c r="C44" t="s">
        <v>1894</v>
      </c>
      <c r="D44" t="s">
        <v>258</v>
      </c>
      <c r="E44" t="s">
        <v>4</v>
      </c>
      <c r="F44">
        <f>227/5</f>
        <v>45.4</v>
      </c>
      <c r="G44" t="s">
        <v>5</v>
      </c>
    </row>
    <row r="46" spans="1:7" x14ac:dyDescent="0.35">
      <c r="A46" t="s">
        <v>3392</v>
      </c>
      <c r="B46" t="s">
        <v>3393</v>
      </c>
      <c r="C46" t="s">
        <v>3394</v>
      </c>
      <c r="D46" t="s">
        <v>3375</v>
      </c>
      <c r="E46" t="s">
        <v>4</v>
      </c>
      <c r="F46">
        <f>7200/135</f>
        <v>53.333333333333336</v>
      </c>
      <c r="G46" t="s">
        <v>10</v>
      </c>
    </row>
    <row r="47" spans="1:7" x14ac:dyDescent="0.35">
      <c r="D47" t="s">
        <v>3395</v>
      </c>
      <c r="F47">
        <f>7200/200</f>
        <v>36</v>
      </c>
      <c r="G47" t="s">
        <v>10</v>
      </c>
    </row>
    <row r="49" spans="1:7" x14ac:dyDescent="0.35">
      <c r="A49" t="s">
        <v>3398</v>
      </c>
      <c r="B49" t="s">
        <v>2048</v>
      </c>
      <c r="C49" t="s">
        <v>3399</v>
      </c>
      <c r="D49" t="s">
        <v>247</v>
      </c>
      <c r="E49" t="s">
        <v>4</v>
      </c>
      <c r="F49">
        <f>535/8.5</f>
        <v>62.941176470588232</v>
      </c>
      <c r="G49" t="s">
        <v>1255</v>
      </c>
    </row>
    <row r="51" spans="1:7" x14ac:dyDescent="0.35">
      <c r="A51" t="s">
        <v>3435</v>
      </c>
      <c r="B51" t="s">
        <v>1836</v>
      </c>
      <c r="C51" t="s">
        <v>3436</v>
      </c>
      <c r="D51" t="s">
        <v>55</v>
      </c>
      <c r="E51" t="s">
        <v>4</v>
      </c>
      <c r="F51">
        <f>87/3.1</f>
        <v>28.064516129032256</v>
      </c>
      <c r="G51" t="s">
        <v>5</v>
      </c>
    </row>
    <row r="52" spans="1:7" x14ac:dyDescent="0.35">
      <c r="D52" t="s">
        <v>3437</v>
      </c>
      <c r="F52">
        <f>87/4</f>
        <v>21.75</v>
      </c>
      <c r="G52" t="s">
        <v>5</v>
      </c>
    </row>
    <row r="54" spans="1:7" x14ac:dyDescent="0.35">
      <c r="A54" t="s">
        <v>3633</v>
      </c>
      <c r="B54" t="s">
        <v>983</v>
      </c>
      <c r="C54" t="s">
        <v>1467</v>
      </c>
      <c r="D54" t="s">
        <v>1191</v>
      </c>
      <c r="E54" t="s">
        <v>4</v>
      </c>
      <c r="F54">
        <f>180/1</f>
        <v>180</v>
      </c>
      <c r="G54" t="s">
        <v>5</v>
      </c>
    </row>
    <row r="56" spans="1:7" x14ac:dyDescent="0.35">
      <c r="A56" t="s">
        <v>4063</v>
      </c>
      <c r="B56" t="s">
        <v>1499</v>
      </c>
      <c r="C56" t="s">
        <v>308</v>
      </c>
      <c r="D56" t="s">
        <v>309</v>
      </c>
      <c r="E56" t="s">
        <v>4</v>
      </c>
      <c r="F56">
        <f>1020/17</f>
        <v>60</v>
      </c>
      <c r="G56" t="s">
        <v>5</v>
      </c>
    </row>
    <row r="58" spans="1:7" x14ac:dyDescent="0.35">
      <c r="A58" t="s">
        <v>4179</v>
      </c>
      <c r="B58" t="s">
        <v>4180</v>
      </c>
      <c r="C58" t="s">
        <v>4181</v>
      </c>
      <c r="D58" t="s">
        <v>974</v>
      </c>
      <c r="E58" t="s">
        <v>4</v>
      </c>
      <c r="F58">
        <f>1830/41</f>
        <v>44.634146341463413</v>
      </c>
      <c r="G58" t="s">
        <v>5</v>
      </c>
    </row>
    <row r="60" spans="1:7" x14ac:dyDescent="0.35">
      <c r="A60" t="s">
        <v>4245</v>
      </c>
      <c r="B60" t="s">
        <v>734</v>
      </c>
      <c r="C60" t="s">
        <v>4244</v>
      </c>
      <c r="D60" t="s">
        <v>419</v>
      </c>
      <c r="E60" t="s">
        <v>4</v>
      </c>
      <c r="F60">
        <f>765/37</f>
        <v>20.675675675675677</v>
      </c>
      <c r="G60" t="s">
        <v>10</v>
      </c>
    </row>
    <row r="62" spans="1:7" x14ac:dyDescent="0.35">
      <c r="A62" t="s">
        <v>4253</v>
      </c>
      <c r="B62" t="s">
        <v>1459</v>
      </c>
      <c r="C62" t="s">
        <v>3799</v>
      </c>
      <c r="D62" t="s">
        <v>366</v>
      </c>
      <c r="E62" t="s">
        <v>4</v>
      </c>
      <c r="F62">
        <f>915/14</f>
        <v>65.357142857142861</v>
      </c>
      <c r="G62" t="s">
        <v>597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572A1-E350-4AE6-8B45-464668E7FE3A}">
  <dimension ref="A1:G57"/>
  <sheetViews>
    <sheetView topLeftCell="A30" workbookViewId="0">
      <selection activeCell="A59" sqref="A59"/>
    </sheetView>
  </sheetViews>
  <sheetFormatPr defaultRowHeight="14.5" x14ac:dyDescent="0.35"/>
  <sheetData>
    <row r="1" spans="1:7" x14ac:dyDescent="0.35">
      <c r="A1" t="s">
        <v>912</v>
      </c>
      <c r="B1" t="s">
        <v>913</v>
      </c>
      <c r="C1" t="s">
        <v>914</v>
      </c>
      <c r="D1" t="s">
        <v>759</v>
      </c>
      <c r="E1" t="s">
        <v>4</v>
      </c>
      <c r="F1">
        <f>2176/94</f>
        <v>23.148936170212767</v>
      </c>
      <c r="G1" t="s">
        <v>5</v>
      </c>
    </row>
    <row r="3" spans="1:7" x14ac:dyDescent="0.35">
      <c r="A3" t="s">
        <v>975</v>
      </c>
      <c r="B3" t="s">
        <v>976</v>
      </c>
      <c r="C3" t="s">
        <v>743</v>
      </c>
      <c r="D3" t="s">
        <v>258</v>
      </c>
      <c r="E3" t="s">
        <v>4</v>
      </c>
      <c r="F3">
        <f>290/5</f>
        <v>58</v>
      </c>
      <c r="G3" t="s">
        <v>5</v>
      </c>
    </row>
    <row r="5" spans="1:7" x14ac:dyDescent="0.35">
      <c r="A5" t="s">
        <v>1123</v>
      </c>
      <c r="B5" t="s">
        <v>1124</v>
      </c>
      <c r="C5" t="s">
        <v>1125</v>
      </c>
      <c r="D5" t="s">
        <v>75</v>
      </c>
      <c r="E5" t="s">
        <v>4</v>
      </c>
      <c r="F5">
        <f>387/15.5</f>
        <v>24.967741935483872</v>
      </c>
      <c r="G5" t="s">
        <v>10</v>
      </c>
    </row>
    <row r="7" spans="1:7" x14ac:dyDescent="0.35">
      <c r="A7" t="s">
        <v>1477</v>
      </c>
      <c r="B7" t="s">
        <v>1014</v>
      </c>
      <c r="C7" t="s">
        <v>1478</v>
      </c>
      <c r="D7" t="s">
        <v>287</v>
      </c>
      <c r="E7" t="s">
        <v>4</v>
      </c>
      <c r="F7">
        <f>307/12.5</f>
        <v>24.56</v>
      </c>
      <c r="G7" t="s">
        <v>5</v>
      </c>
    </row>
    <row r="9" spans="1:7" x14ac:dyDescent="0.35">
      <c r="A9" t="s">
        <v>1612</v>
      </c>
      <c r="B9" t="s">
        <v>1613</v>
      </c>
      <c r="C9" t="s">
        <v>1614</v>
      </c>
      <c r="D9" t="s">
        <v>1615</v>
      </c>
      <c r="E9" t="s">
        <v>4</v>
      </c>
      <c r="F9">
        <f>900/25.9</f>
        <v>34.749034749034749</v>
      </c>
      <c r="G9" t="s">
        <v>5</v>
      </c>
    </row>
    <row r="11" spans="1:7" x14ac:dyDescent="0.35">
      <c r="A11" t="s">
        <v>1627</v>
      </c>
      <c r="B11" t="s">
        <v>1628</v>
      </c>
      <c r="C11" t="s">
        <v>1629</v>
      </c>
      <c r="D11" t="s">
        <v>383</v>
      </c>
      <c r="E11" t="s">
        <v>4</v>
      </c>
      <c r="F11">
        <f>87/3.6</f>
        <v>24.166666666666664</v>
      </c>
      <c r="G11" t="s">
        <v>5</v>
      </c>
    </row>
    <row r="13" spans="1:7" x14ac:dyDescent="0.35">
      <c r="A13" t="s">
        <v>1656</v>
      </c>
      <c r="B13" t="s">
        <v>1657</v>
      </c>
      <c r="C13" t="s">
        <v>1522</v>
      </c>
      <c r="D13" t="s">
        <v>387</v>
      </c>
      <c r="E13" t="s">
        <v>4</v>
      </c>
      <c r="F13">
        <f>153/7</f>
        <v>21.857142857142858</v>
      </c>
      <c r="G13" t="s">
        <v>5</v>
      </c>
    </row>
    <row r="15" spans="1:7" x14ac:dyDescent="0.35">
      <c r="A15" t="s">
        <v>2124</v>
      </c>
      <c r="B15" t="s">
        <v>2125</v>
      </c>
      <c r="C15" t="s">
        <v>2126</v>
      </c>
      <c r="D15" t="s">
        <v>2127</v>
      </c>
      <c r="E15" t="s">
        <v>4</v>
      </c>
      <c r="F15">
        <f>300/6.7</f>
        <v>44.776119402985074</v>
      </c>
      <c r="G15" t="s">
        <v>5</v>
      </c>
    </row>
    <row r="17" spans="1:7" x14ac:dyDescent="0.35">
      <c r="A17" t="s">
        <v>2148</v>
      </c>
      <c r="B17" t="s">
        <v>2149</v>
      </c>
      <c r="C17" t="s">
        <v>2150</v>
      </c>
      <c r="D17" t="s">
        <v>79</v>
      </c>
      <c r="E17" t="s">
        <v>4</v>
      </c>
      <c r="F17">
        <f>525/10</f>
        <v>52.5</v>
      </c>
      <c r="G17" t="s">
        <v>5</v>
      </c>
    </row>
    <row r="19" spans="1:7" x14ac:dyDescent="0.35">
      <c r="A19" t="s">
        <v>2179</v>
      </c>
      <c r="B19" t="s">
        <v>162</v>
      </c>
      <c r="C19" t="s">
        <v>2180</v>
      </c>
      <c r="D19" t="s">
        <v>164</v>
      </c>
      <c r="E19" t="s">
        <v>4</v>
      </c>
      <c r="F19">
        <f>955/25</f>
        <v>38.200000000000003</v>
      </c>
      <c r="G19" t="s">
        <v>5</v>
      </c>
    </row>
    <row r="21" spans="1:7" x14ac:dyDescent="0.35">
      <c r="A21" t="s">
        <v>2189</v>
      </c>
      <c r="B21" t="s">
        <v>1257</v>
      </c>
      <c r="C21" t="s">
        <v>2190</v>
      </c>
      <c r="D21" t="s">
        <v>2191</v>
      </c>
      <c r="E21" t="s">
        <v>4</v>
      </c>
      <c r="F21">
        <f>74/3.7</f>
        <v>20</v>
      </c>
      <c r="G21" t="s">
        <v>5</v>
      </c>
    </row>
    <row r="23" spans="1:7" x14ac:dyDescent="0.35">
      <c r="A23" t="s">
        <v>2200</v>
      </c>
      <c r="B23" t="s">
        <v>2201</v>
      </c>
      <c r="C23" t="s">
        <v>1231</v>
      </c>
      <c r="D23" t="s">
        <v>827</v>
      </c>
      <c r="E23" t="s">
        <v>4</v>
      </c>
      <c r="F23">
        <f>1020/33</f>
        <v>30.90909090909091</v>
      </c>
      <c r="G23" t="s">
        <v>5</v>
      </c>
    </row>
    <row r="25" spans="1:7" x14ac:dyDescent="0.35">
      <c r="A25" t="s">
        <v>2202</v>
      </c>
      <c r="B25" t="s">
        <v>1046</v>
      </c>
      <c r="C25" t="s">
        <v>2203</v>
      </c>
      <c r="D25" t="s">
        <v>387</v>
      </c>
      <c r="E25" t="s">
        <v>4</v>
      </c>
      <c r="F25">
        <f>223/7</f>
        <v>31.857142857142858</v>
      </c>
      <c r="G25" t="s">
        <v>5</v>
      </c>
    </row>
    <row r="27" spans="1:7" x14ac:dyDescent="0.35">
      <c r="A27" t="s">
        <v>2216</v>
      </c>
      <c r="B27" t="s">
        <v>2217</v>
      </c>
      <c r="C27" t="s">
        <v>2218</v>
      </c>
      <c r="D27" t="s">
        <v>134</v>
      </c>
      <c r="E27" t="s">
        <v>4</v>
      </c>
      <c r="F27">
        <f>800/12</f>
        <v>66.666666666666671</v>
      </c>
      <c r="G27" t="s">
        <v>5</v>
      </c>
    </row>
    <row r="29" spans="1:7" x14ac:dyDescent="0.35">
      <c r="A29" t="s">
        <v>2231</v>
      </c>
      <c r="B29" t="s">
        <v>2232</v>
      </c>
      <c r="C29" t="s">
        <v>2233</v>
      </c>
      <c r="D29" t="s">
        <v>134</v>
      </c>
      <c r="E29" t="s">
        <v>4</v>
      </c>
      <c r="F29">
        <f>172/12</f>
        <v>14.333333333333334</v>
      </c>
      <c r="G29" t="s">
        <v>10</v>
      </c>
    </row>
    <row r="31" spans="1:7" x14ac:dyDescent="0.35">
      <c r="A31" t="s">
        <v>2234</v>
      </c>
      <c r="B31" t="s">
        <v>2235</v>
      </c>
      <c r="C31" t="s">
        <v>50</v>
      </c>
      <c r="D31" t="s">
        <v>2037</v>
      </c>
      <c r="E31" t="s">
        <v>4</v>
      </c>
      <c r="F31">
        <f>5180/155</f>
        <v>33.41935483870968</v>
      </c>
      <c r="G31" t="s">
        <v>5</v>
      </c>
    </row>
    <row r="33" spans="1:7" x14ac:dyDescent="0.35">
      <c r="A33" t="s">
        <v>2384</v>
      </c>
      <c r="B33" t="s">
        <v>725</v>
      </c>
      <c r="C33" t="s">
        <v>1797</v>
      </c>
      <c r="D33" t="s">
        <v>93</v>
      </c>
      <c r="E33" t="s">
        <v>4</v>
      </c>
      <c r="F33">
        <f>83/4.5</f>
        <v>18.444444444444443</v>
      </c>
      <c r="G33" t="s">
        <v>5</v>
      </c>
    </row>
    <row r="35" spans="1:7" x14ac:dyDescent="0.35">
      <c r="A35" t="s">
        <v>2600</v>
      </c>
      <c r="B35" t="s">
        <v>2207</v>
      </c>
      <c r="C35" t="s">
        <v>2601</v>
      </c>
      <c r="D35" t="s">
        <v>1002</v>
      </c>
      <c r="E35" t="s">
        <v>4</v>
      </c>
      <c r="F35">
        <f>280/7.5</f>
        <v>37.333333333333336</v>
      </c>
      <c r="G35" t="s">
        <v>5</v>
      </c>
    </row>
    <row r="37" spans="1:7" x14ac:dyDescent="0.35">
      <c r="A37" t="s">
        <v>3220</v>
      </c>
      <c r="B37" t="s">
        <v>3218</v>
      </c>
      <c r="C37" t="s">
        <v>3219</v>
      </c>
      <c r="D37" t="s">
        <v>27</v>
      </c>
      <c r="E37" t="s">
        <v>4</v>
      </c>
      <c r="F37">
        <f>2145/35</f>
        <v>61.285714285714285</v>
      </c>
      <c r="G37" t="s">
        <v>5</v>
      </c>
    </row>
    <row r="39" spans="1:7" x14ac:dyDescent="0.35">
      <c r="A39" t="s">
        <v>3612</v>
      </c>
      <c r="B39" t="s">
        <v>1046</v>
      </c>
      <c r="C39" t="s">
        <v>3572</v>
      </c>
      <c r="D39" t="s">
        <v>35</v>
      </c>
      <c r="E39" t="s">
        <v>4</v>
      </c>
      <c r="F39">
        <f>119/6</f>
        <v>19.833333333333332</v>
      </c>
      <c r="G39" t="s">
        <v>10</v>
      </c>
    </row>
    <row r="41" spans="1:7" x14ac:dyDescent="0.35">
      <c r="A41" t="s">
        <v>3658</v>
      </c>
      <c r="B41" t="s">
        <v>538</v>
      </c>
      <c r="C41" t="s">
        <v>3659</v>
      </c>
      <c r="D41" t="s">
        <v>79</v>
      </c>
      <c r="E41" t="s">
        <v>4</v>
      </c>
      <c r="F41">
        <f>185/10</f>
        <v>18.5</v>
      </c>
      <c r="G41" t="s">
        <v>10</v>
      </c>
    </row>
    <row r="43" spans="1:7" x14ac:dyDescent="0.35">
      <c r="A43" t="s">
        <v>3682</v>
      </c>
      <c r="B43" t="s">
        <v>790</v>
      </c>
      <c r="C43" t="s">
        <v>543</v>
      </c>
      <c r="D43" t="s">
        <v>593</v>
      </c>
      <c r="E43" t="s">
        <v>4</v>
      </c>
      <c r="F43">
        <f>333/27</f>
        <v>12.333333333333334</v>
      </c>
      <c r="G43" t="s">
        <v>10</v>
      </c>
    </row>
    <row r="45" spans="1:7" x14ac:dyDescent="0.35">
      <c r="A45" t="s">
        <v>3735</v>
      </c>
      <c r="B45" t="s">
        <v>870</v>
      </c>
      <c r="C45" t="s">
        <v>543</v>
      </c>
      <c r="D45" t="s">
        <v>27</v>
      </c>
      <c r="E45" t="s">
        <v>4</v>
      </c>
      <c r="F45">
        <f>1474/35</f>
        <v>42.114285714285714</v>
      </c>
      <c r="G45" t="s">
        <v>5</v>
      </c>
    </row>
    <row r="47" spans="1:7" x14ac:dyDescent="0.35">
      <c r="A47" t="s">
        <v>3860</v>
      </c>
      <c r="B47" t="s">
        <v>2869</v>
      </c>
      <c r="C47" t="s">
        <v>3861</v>
      </c>
      <c r="D47" t="s">
        <v>116</v>
      </c>
      <c r="E47" t="s">
        <v>4</v>
      </c>
      <c r="F47">
        <f>25/2.5</f>
        <v>10</v>
      </c>
      <c r="G47" t="s">
        <v>10</v>
      </c>
    </row>
    <row r="49" spans="1:7" x14ac:dyDescent="0.35">
      <c r="A49" t="s">
        <v>3878</v>
      </c>
      <c r="B49" t="s">
        <v>2501</v>
      </c>
      <c r="C49" t="s">
        <v>121</v>
      </c>
      <c r="D49" t="s">
        <v>366</v>
      </c>
      <c r="E49" t="s">
        <v>4</v>
      </c>
      <c r="F49">
        <f>210/14</f>
        <v>15</v>
      </c>
      <c r="G49" t="s">
        <v>10</v>
      </c>
    </row>
    <row r="51" spans="1:7" x14ac:dyDescent="0.35">
      <c r="A51" t="s">
        <v>3890</v>
      </c>
      <c r="B51" t="s">
        <v>29</v>
      </c>
      <c r="C51" t="s">
        <v>3891</v>
      </c>
      <c r="D51" t="s">
        <v>89</v>
      </c>
      <c r="E51" t="s">
        <v>4</v>
      </c>
      <c r="F51">
        <f>180/4</f>
        <v>45</v>
      </c>
      <c r="G51" t="s">
        <v>5</v>
      </c>
    </row>
    <row r="53" spans="1:7" x14ac:dyDescent="0.35">
      <c r="A53" t="s">
        <v>3916</v>
      </c>
      <c r="B53" t="s">
        <v>3917</v>
      </c>
      <c r="C53" t="s">
        <v>2437</v>
      </c>
      <c r="D53" t="s">
        <v>3918</v>
      </c>
      <c r="E53" t="s">
        <v>4</v>
      </c>
      <c r="F53">
        <f>35/2.6</f>
        <v>13.461538461538462</v>
      </c>
      <c r="G53" t="s">
        <v>10</v>
      </c>
    </row>
    <row r="55" spans="1:7" x14ac:dyDescent="0.35">
      <c r="A55" t="s">
        <v>3974</v>
      </c>
      <c r="B55" t="s">
        <v>1309</v>
      </c>
      <c r="C55" t="s">
        <v>3975</v>
      </c>
      <c r="D55" t="s">
        <v>19</v>
      </c>
      <c r="E55" t="s">
        <v>4</v>
      </c>
      <c r="F55">
        <f>191/9</f>
        <v>21.222222222222221</v>
      </c>
      <c r="G55" t="s">
        <v>5</v>
      </c>
    </row>
    <row r="57" spans="1:7" x14ac:dyDescent="0.35">
      <c r="A57" t="s">
        <v>4196</v>
      </c>
      <c r="B57" t="s">
        <v>3888</v>
      </c>
      <c r="C57" t="s">
        <v>2062</v>
      </c>
      <c r="D57" t="s">
        <v>192</v>
      </c>
      <c r="E57" t="s">
        <v>4</v>
      </c>
      <c r="F57">
        <f>320/11</f>
        <v>29.09090909090909</v>
      </c>
      <c r="G57" t="s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B3FB4-8B50-4E8B-A688-E2CF04B91D51}">
  <dimension ref="A1:G89"/>
  <sheetViews>
    <sheetView topLeftCell="A62" workbookViewId="0">
      <selection activeCell="A91" sqref="A91"/>
    </sheetView>
  </sheetViews>
  <sheetFormatPr defaultRowHeight="14.5" x14ac:dyDescent="0.35"/>
  <sheetData>
    <row r="1" spans="1:7" x14ac:dyDescent="0.35">
      <c r="A1" t="s">
        <v>72</v>
      </c>
      <c r="B1" t="s">
        <v>73</v>
      </c>
      <c r="C1" t="s">
        <v>74</v>
      </c>
      <c r="D1" t="s">
        <v>75</v>
      </c>
      <c r="E1" t="s">
        <v>4</v>
      </c>
      <c r="F1">
        <f>221/15.5</f>
        <v>14.258064516129032</v>
      </c>
      <c r="G1" t="s">
        <v>10</v>
      </c>
    </row>
    <row r="3" spans="1:7" x14ac:dyDescent="0.35">
      <c r="A3" t="s">
        <v>94</v>
      </c>
      <c r="B3" t="s">
        <v>95</v>
      </c>
      <c r="C3" t="s">
        <v>96</v>
      </c>
      <c r="D3" t="s">
        <v>55</v>
      </c>
      <c r="E3" t="s">
        <v>4</v>
      </c>
      <c r="F3">
        <f>120/3.1</f>
        <v>38.70967741935484</v>
      </c>
      <c r="G3" t="s">
        <v>5</v>
      </c>
    </row>
    <row r="5" spans="1:7" x14ac:dyDescent="0.35">
      <c r="A5" t="s">
        <v>183</v>
      </c>
      <c r="B5" t="s">
        <v>29</v>
      </c>
      <c r="C5" t="s">
        <v>184</v>
      </c>
      <c r="D5" t="s">
        <v>164</v>
      </c>
      <c r="E5" t="s">
        <v>4</v>
      </c>
      <c r="F5">
        <f>372/25</f>
        <v>14.88</v>
      </c>
      <c r="G5" t="s">
        <v>10</v>
      </c>
    </row>
    <row r="7" spans="1:7" x14ac:dyDescent="0.35">
      <c r="A7" t="s">
        <v>237</v>
      </c>
      <c r="B7" t="s">
        <v>238</v>
      </c>
      <c r="C7" t="s">
        <v>239</v>
      </c>
      <c r="D7" t="s">
        <v>240</v>
      </c>
      <c r="E7" t="s">
        <v>4</v>
      </c>
      <c r="F7">
        <f>9650/345</f>
        <v>27.971014492753625</v>
      </c>
      <c r="G7" t="s">
        <v>10</v>
      </c>
    </row>
    <row r="9" spans="1:7" x14ac:dyDescent="0.35">
      <c r="A9" s="1" t="s">
        <v>284</v>
      </c>
      <c r="B9" s="1" t="s">
        <v>285</v>
      </c>
      <c r="C9" s="1" t="s">
        <v>286</v>
      </c>
      <c r="D9" s="1" t="s">
        <v>287</v>
      </c>
      <c r="E9" s="1" t="s">
        <v>4</v>
      </c>
      <c r="F9" s="1">
        <f>441/12.5</f>
        <v>35.28</v>
      </c>
      <c r="G9" s="1" t="s">
        <v>10</v>
      </c>
    </row>
    <row r="11" spans="1:7" x14ac:dyDescent="0.35">
      <c r="A11" t="s">
        <v>513</v>
      </c>
      <c r="B11" t="s">
        <v>514</v>
      </c>
      <c r="C11" t="s">
        <v>515</v>
      </c>
      <c r="D11" t="s">
        <v>67</v>
      </c>
      <c r="E11" t="s">
        <v>4</v>
      </c>
      <c r="F11">
        <f>180/3.8</f>
        <v>47.368421052631582</v>
      </c>
      <c r="G11" t="s">
        <v>5</v>
      </c>
    </row>
    <row r="13" spans="1:7" x14ac:dyDescent="0.35">
      <c r="A13" t="s">
        <v>754</v>
      </c>
      <c r="B13" t="s">
        <v>755</v>
      </c>
      <c r="C13" t="s">
        <v>756</v>
      </c>
      <c r="D13" t="s">
        <v>170</v>
      </c>
      <c r="E13" t="s">
        <v>4</v>
      </c>
      <c r="F13">
        <f>4900/70</f>
        <v>70</v>
      </c>
      <c r="G13" t="s">
        <v>5</v>
      </c>
    </row>
    <row r="15" spans="1:7" x14ac:dyDescent="0.35">
      <c r="A15" t="s">
        <v>760</v>
      </c>
      <c r="B15" t="s">
        <v>761</v>
      </c>
      <c r="C15" t="s">
        <v>225</v>
      </c>
      <c r="D15" t="s">
        <v>762</v>
      </c>
      <c r="E15" t="s">
        <v>4</v>
      </c>
      <c r="F15">
        <f>235/1.6</f>
        <v>146.875</v>
      </c>
      <c r="G15" t="s">
        <v>5</v>
      </c>
    </row>
    <row r="17" spans="1:7" x14ac:dyDescent="0.35">
      <c r="A17" t="s">
        <v>927</v>
      </c>
      <c r="B17" t="s">
        <v>95</v>
      </c>
      <c r="C17" t="s">
        <v>928</v>
      </c>
      <c r="D17" t="s">
        <v>157</v>
      </c>
      <c r="E17" t="s">
        <v>4</v>
      </c>
      <c r="F17">
        <f>62/2.7</f>
        <v>22.962962962962962</v>
      </c>
      <c r="G17" t="s">
        <v>5</v>
      </c>
    </row>
    <row r="19" spans="1:7" x14ac:dyDescent="0.35">
      <c r="A19" t="s">
        <v>1109</v>
      </c>
      <c r="B19" t="s">
        <v>1110</v>
      </c>
      <c r="C19" t="s">
        <v>1111</v>
      </c>
      <c r="D19" t="s">
        <v>1112</v>
      </c>
      <c r="E19" t="s">
        <v>4</v>
      </c>
      <c r="F19">
        <f>152/6.5</f>
        <v>23.384615384615383</v>
      </c>
      <c r="G19" t="s">
        <v>5</v>
      </c>
    </row>
    <row r="21" spans="1:7" x14ac:dyDescent="0.35">
      <c r="A21" t="s">
        <v>1224</v>
      </c>
      <c r="B21" t="s">
        <v>267</v>
      </c>
      <c r="C21" t="s">
        <v>1225</v>
      </c>
      <c r="D21" t="s">
        <v>1181</v>
      </c>
      <c r="E21" t="s">
        <v>4</v>
      </c>
      <c r="F21">
        <f>60/1.5</f>
        <v>40</v>
      </c>
      <c r="G21" t="s">
        <v>5</v>
      </c>
    </row>
    <row r="23" spans="1:7" x14ac:dyDescent="0.35">
      <c r="A23" t="s">
        <v>1286</v>
      </c>
      <c r="B23" t="s">
        <v>1287</v>
      </c>
      <c r="C23" t="s">
        <v>1288</v>
      </c>
      <c r="D23" t="s">
        <v>1289</v>
      </c>
      <c r="E23" t="s">
        <v>4</v>
      </c>
      <c r="F23">
        <f>172/10</f>
        <v>17.2</v>
      </c>
      <c r="G23" t="s">
        <v>10</v>
      </c>
    </row>
    <row r="25" spans="1:7" x14ac:dyDescent="0.35">
      <c r="A25" t="s">
        <v>1360</v>
      </c>
      <c r="B25" t="s">
        <v>77</v>
      </c>
      <c r="C25" t="s">
        <v>1361</v>
      </c>
      <c r="D25" t="s">
        <v>219</v>
      </c>
      <c r="E25" t="s">
        <v>4</v>
      </c>
      <c r="F25">
        <f>289/5.5</f>
        <v>52.545454545454547</v>
      </c>
      <c r="G25" t="s">
        <v>5</v>
      </c>
    </row>
    <row r="27" spans="1:7" x14ac:dyDescent="0.35">
      <c r="A27" t="s">
        <v>1956</v>
      </c>
      <c r="B27" t="s">
        <v>1885</v>
      </c>
      <c r="C27" t="s">
        <v>552</v>
      </c>
      <c r="D27" t="s">
        <v>1249</v>
      </c>
      <c r="E27" t="s">
        <v>4</v>
      </c>
      <c r="F27">
        <f>856/28</f>
        <v>30.571428571428573</v>
      </c>
      <c r="G27" t="s">
        <v>5</v>
      </c>
    </row>
    <row r="29" spans="1:7" x14ac:dyDescent="0.35">
      <c r="A29" t="s">
        <v>1994</v>
      </c>
      <c r="B29" t="s">
        <v>703</v>
      </c>
      <c r="C29" t="s">
        <v>1995</v>
      </c>
      <c r="D29" t="s">
        <v>178</v>
      </c>
      <c r="E29" t="s">
        <v>4</v>
      </c>
      <c r="F29">
        <f>757/15</f>
        <v>50.466666666666669</v>
      </c>
      <c r="G29" t="s">
        <v>5</v>
      </c>
    </row>
    <row r="31" spans="1:7" x14ac:dyDescent="0.35">
      <c r="A31" t="s">
        <v>2045</v>
      </c>
      <c r="B31" t="s">
        <v>2046</v>
      </c>
      <c r="C31" t="s">
        <v>1421</v>
      </c>
      <c r="D31" t="s">
        <v>79</v>
      </c>
      <c r="E31" t="s">
        <v>4</v>
      </c>
      <c r="F31">
        <f>198/10</f>
        <v>19.8</v>
      </c>
      <c r="G31" t="s">
        <v>5</v>
      </c>
    </row>
    <row r="33" spans="1:7" x14ac:dyDescent="0.35">
      <c r="A33" t="s">
        <v>2181</v>
      </c>
      <c r="B33" t="s">
        <v>2139</v>
      </c>
      <c r="C33" t="s">
        <v>2182</v>
      </c>
      <c r="D33" t="s">
        <v>23</v>
      </c>
      <c r="E33" t="s">
        <v>4</v>
      </c>
      <c r="F33">
        <f>1123/21</f>
        <v>53.476190476190474</v>
      </c>
      <c r="G33" t="s">
        <v>5</v>
      </c>
    </row>
    <row r="35" spans="1:7" x14ac:dyDescent="0.35">
      <c r="A35" t="s">
        <v>2267</v>
      </c>
      <c r="B35" t="s">
        <v>267</v>
      </c>
      <c r="C35" t="s">
        <v>2268</v>
      </c>
      <c r="D35" t="s">
        <v>2269</v>
      </c>
      <c r="E35" t="s">
        <v>4</v>
      </c>
      <c r="F35">
        <f>222/2.5</f>
        <v>88.8</v>
      </c>
      <c r="G35" t="s">
        <v>1255</v>
      </c>
    </row>
    <row r="37" spans="1:7" x14ac:dyDescent="0.35">
      <c r="A37" t="s">
        <v>2299</v>
      </c>
      <c r="B37" t="s">
        <v>514</v>
      </c>
      <c r="C37" t="s">
        <v>2300</v>
      </c>
      <c r="D37" t="s">
        <v>89</v>
      </c>
      <c r="E37" t="s">
        <v>4</v>
      </c>
      <c r="F37">
        <f>129/4</f>
        <v>32.25</v>
      </c>
      <c r="G37" t="s">
        <v>5</v>
      </c>
    </row>
    <row r="39" spans="1:7" x14ac:dyDescent="0.35">
      <c r="A39" t="s">
        <v>2515</v>
      </c>
      <c r="B39" t="s">
        <v>186</v>
      </c>
      <c r="C39" t="s">
        <v>2382</v>
      </c>
      <c r="D39" t="s">
        <v>2516</v>
      </c>
      <c r="E39" t="s">
        <v>4</v>
      </c>
      <c r="F39">
        <f>126/2.8</f>
        <v>45</v>
      </c>
      <c r="G39" t="s">
        <v>5</v>
      </c>
    </row>
    <row r="41" spans="1:7" x14ac:dyDescent="0.35">
      <c r="A41" t="s">
        <v>2781</v>
      </c>
      <c r="B41" t="s">
        <v>1110</v>
      </c>
      <c r="C41" t="s">
        <v>1635</v>
      </c>
      <c r="D41" t="s">
        <v>219</v>
      </c>
      <c r="E41" t="s">
        <v>4</v>
      </c>
      <c r="F41">
        <f>119/5.5</f>
        <v>21.636363636363637</v>
      </c>
      <c r="G41" t="s">
        <v>10</v>
      </c>
    </row>
    <row r="43" spans="1:7" x14ac:dyDescent="0.35">
      <c r="A43" t="s">
        <v>2803</v>
      </c>
      <c r="B43" t="s">
        <v>2804</v>
      </c>
      <c r="C43" t="s">
        <v>169</v>
      </c>
      <c r="D43" t="s">
        <v>170</v>
      </c>
      <c r="E43" t="s">
        <v>4</v>
      </c>
      <c r="F43">
        <f>800/70</f>
        <v>11.428571428571429</v>
      </c>
      <c r="G43" t="s">
        <v>10</v>
      </c>
    </row>
    <row r="45" spans="1:7" x14ac:dyDescent="0.35">
      <c r="A45" t="s">
        <v>2886</v>
      </c>
      <c r="B45" t="s">
        <v>2887</v>
      </c>
      <c r="C45" t="s">
        <v>2888</v>
      </c>
      <c r="D45" t="s">
        <v>974</v>
      </c>
      <c r="E45" t="s">
        <v>4</v>
      </c>
      <c r="F45">
        <f>830/41</f>
        <v>20.243902439024389</v>
      </c>
      <c r="G45" t="s">
        <v>10</v>
      </c>
    </row>
    <row r="47" spans="1:7" x14ac:dyDescent="0.35">
      <c r="A47" t="s">
        <v>2937</v>
      </c>
      <c r="B47" t="s">
        <v>2938</v>
      </c>
      <c r="C47" t="s">
        <v>2939</v>
      </c>
      <c r="D47" t="s">
        <v>280</v>
      </c>
      <c r="E47" t="s">
        <v>4</v>
      </c>
      <c r="F47">
        <f>370/20</f>
        <v>18.5</v>
      </c>
      <c r="G47" t="s">
        <v>10</v>
      </c>
    </row>
    <row r="49" spans="1:7" x14ac:dyDescent="0.35">
      <c r="A49" t="s">
        <v>3012</v>
      </c>
      <c r="B49" t="s">
        <v>3013</v>
      </c>
      <c r="C49" t="s">
        <v>2233</v>
      </c>
      <c r="D49" t="s">
        <v>122</v>
      </c>
      <c r="E49" t="s">
        <v>4</v>
      </c>
      <c r="F49">
        <f>353/16</f>
        <v>22.0625</v>
      </c>
      <c r="G49" t="s">
        <v>10</v>
      </c>
    </row>
    <row r="51" spans="1:7" x14ac:dyDescent="0.35">
      <c r="A51" t="s">
        <v>3058</v>
      </c>
      <c r="B51" t="s">
        <v>3059</v>
      </c>
      <c r="C51" t="s">
        <v>3060</v>
      </c>
      <c r="D51" t="s">
        <v>79</v>
      </c>
      <c r="E51" t="s">
        <v>4</v>
      </c>
      <c r="F51">
        <f>543/10</f>
        <v>54.3</v>
      </c>
      <c r="G51" t="s">
        <v>5</v>
      </c>
    </row>
    <row r="53" spans="1:7" x14ac:dyDescent="0.35">
      <c r="A53" t="s">
        <v>3223</v>
      </c>
      <c r="B53" t="s">
        <v>3224</v>
      </c>
      <c r="C53" t="s">
        <v>3225</v>
      </c>
      <c r="D53" t="s">
        <v>2041</v>
      </c>
      <c r="E53" t="s">
        <v>4</v>
      </c>
      <c r="F53">
        <f>3040/175</f>
        <v>17.37142857142857</v>
      </c>
      <c r="G53" t="s">
        <v>10</v>
      </c>
    </row>
    <row r="55" spans="1:7" x14ac:dyDescent="0.35">
      <c r="A55" t="s">
        <v>3329</v>
      </c>
      <c r="B55" t="s">
        <v>2486</v>
      </c>
      <c r="C55" t="s">
        <v>2728</v>
      </c>
      <c r="D55" t="s">
        <v>192</v>
      </c>
      <c r="E55" t="s">
        <v>4</v>
      </c>
      <c r="F55">
        <f>346/11</f>
        <v>31.454545454545453</v>
      </c>
      <c r="G55" t="s">
        <v>5</v>
      </c>
    </row>
    <row r="57" spans="1:7" x14ac:dyDescent="0.35">
      <c r="A57" t="s">
        <v>3364</v>
      </c>
      <c r="B57" t="s">
        <v>3365</v>
      </c>
      <c r="C57" t="s">
        <v>3366</v>
      </c>
      <c r="D57" t="s">
        <v>366</v>
      </c>
      <c r="E57" t="s">
        <v>4</v>
      </c>
      <c r="F57">
        <f>189/14</f>
        <v>13.5</v>
      </c>
      <c r="G57" t="s">
        <v>10</v>
      </c>
    </row>
    <row r="59" spans="1:7" x14ac:dyDescent="0.35">
      <c r="A59" t="s">
        <v>3414</v>
      </c>
      <c r="B59" t="s">
        <v>3415</v>
      </c>
      <c r="C59" t="s">
        <v>3416</v>
      </c>
      <c r="D59" t="s">
        <v>157</v>
      </c>
      <c r="E59" t="s">
        <v>4</v>
      </c>
      <c r="F59">
        <f>144/2.7</f>
        <v>53.333333333333329</v>
      </c>
      <c r="G59" t="s">
        <v>5</v>
      </c>
    </row>
    <row r="61" spans="1:7" x14ac:dyDescent="0.35">
      <c r="A61" t="s">
        <v>3423</v>
      </c>
      <c r="B61" t="s">
        <v>3424</v>
      </c>
      <c r="C61" t="s">
        <v>3425</v>
      </c>
      <c r="D61" t="s">
        <v>387</v>
      </c>
      <c r="E61" t="s">
        <v>4</v>
      </c>
      <c r="F61">
        <f>259/7</f>
        <v>37</v>
      </c>
      <c r="G61" t="s">
        <v>5</v>
      </c>
    </row>
    <row r="63" spans="1:7" x14ac:dyDescent="0.35">
      <c r="A63" t="s">
        <v>3491</v>
      </c>
      <c r="B63" t="s">
        <v>703</v>
      </c>
      <c r="C63" t="s">
        <v>3492</v>
      </c>
      <c r="D63" t="s">
        <v>467</v>
      </c>
      <c r="E63" t="s">
        <v>4</v>
      </c>
      <c r="F63">
        <f>1550/23</f>
        <v>67.391304347826093</v>
      </c>
      <c r="G63" t="s">
        <v>1514</v>
      </c>
    </row>
    <row r="65" spans="1:7" x14ac:dyDescent="0.35">
      <c r="A65" t="s">
        <v>3585</v>
      </c>
      <c r="B65" t="s">
        <v>368</v>
      </c>
      <c r="C65" t="s">
        <v>3586</v>
      </c>
      <c r="D65" t="s">
        <v>3198</v>
      </c>
      <c r="E65" t="s">
        <v>4</v>
      </c>
      <c r="F65">
        <f>52/1.3</f>
        <v>40</v>
      </c>
      <c r="G65" t="s">
        <v>5</v>
      </c>
    </row>
    <row r="67" spans="1:7" x14ac:dyDescent="0.35">
      <c r="A67" t="s">
        <v>3589</v>
      </c>
      <c r="B67" t="s">
        <v>267</v>
      </c>
      <c r="C67" t="s">
        <v>3590</v>
      </c>
      <c r="D67" t="s">
        <v>188</v>
      </c>
      <c r="E67" t="s">
        <v>4</v>
      </c>
      <c r="F67">
        <f>150/3.5</f>
        <v>42.857142857142854</v>
      </c>
      <c r="G67" t="s">
        <v>5</v>
      </c>
    </row>
    <row r="69" spans="1:7" x14ac:dyDescent="0.35">
      <c r="A69" t="s">
        <v>3656</v>
      </c>
      <c r="B69" t="s">
        <v>548</v>
      </c>
      <c r="C69" t="s">
        <v>30</v>
      </c>
      <c r="D69" t="s">
        <v>3657</v>
      </c>
      <c r="E69" t="s">
        <v>4</v>
      </c>
      <c r="F69">
        <f>9/0.2</f>
        <v>45</v>
      </c>
      <c r="G69" t="s">
        <v>5</v>
      </c>
    </row>
    <row r="71" spans="1:7" x14ac:dyDescent="0.35">
      <c r="A71" t="s">
        <v>3748</v>
      </c>
      <c r="B71" t="s">
        <v>3749</v>
      </c>
      <c r="C71" t="s">
        <v>3750</v>
      </c>
      <c r="D71" t="s">
        <v>178</v>
      </c>
      <c r="E71" t="s">
        <v>4</v>
      </c>
      <c r="F71">
        <f>710/15</f>
        <v>47.333333333333336</v>
      </c>
      <c r="G71" t="s">
        <v>5</v>
      </c>
    </row>
    <row r="73" spans="1:7" x14ac:dyDescent="0.35">
      <c r="A73" t="s">
        <v>3751</v>
      </c>
      <c r="B73" t="s">
        <v>1785</v>
      </c>
      <c r="C73" t="s">
        <v>30</v>
      </c>
    </row>
    <row r="75" spans="1:7" x14ac:dyDescent="0.35">
      <c r="A75" t="s">
        <v>3783</v>
      </c>
      <c r="B75" t="s">
        <v>354</v>
      </c>
      <c r="C75" t="s">
        <v>3784</v>
      </c>
      <c r="D75" t="s">
        <v>27</v>
      </c>
      <c r="E75" t="s">
        <v>4</v>
      </c>
      <c r="F75">
        <f>1215/35</f>
        <v>34.714285714285715</v>
      </c>
      <c r="G75" t="s">
        <v>10</v>
      </c>
    </row>
    <row r="77" spans="1:7" x14ac:dyDescent="0.35">
      <c r="A77" t="s">
        <v>3824</v>
      </c>
      <c r="B77" t="s">
        <v>333</v>
      </c>
      <c r="C77" t="s">
        <v>1379</v>
      </c>
      <c r="D77" t="s">
        <v>287</v>
      </c>
      <c r="E77" t="s">
        <v>4</v>
      </c>
      <c r="F77">
        <f>155/12.5</f>
        <v>12.4</v>
      </c>
      <c r="G77" t="s">
        <v>10</v>
      </c>
    </row>
    <row r="79" spans="1:7" x14ac:dyDescent="0.35">
      <c r="A79" t="s">
        <v>3962</v>
      </c>
      <c r="B79" t="s">
        <v>1344</v>
      </c>
      <c r="C79" t="s">
        <v>3963</v>
      </c>
      <c r="D79" t="s">
        <v>134</v>
      </c>
      <c r="E79" t="s">
        <v>4</v>
      </c>
      <c r="F79">
        <f>363/12</f>
        <v>30.25</v>
      </c>
      <c r="G79" t="s">
        <v>5</v>
      </c>
    </row>
    <row r="81" spans="1:7" x14ac:dyDescent="0.35">
      <c r="A81" t="s">
        <v>4172</v>
      </c>
      <c r="B81" t="s">
        <v>675</v>
      </c>
      <c r="C81" t="s">
        <v>4173</v>
      </c>
      <c r="D81" t="s">
        <v>387</v>
      </c>
      <c r="E81" t="s">
        <v>4</v>
      </c>
      <c r="F81">
        <f>275/7</f>
        <v>39.285714285714285</v>
      </c>
      <c r="G81" t="s">
        <v>5</v>
      </c>
    </row>
    <row r="83" spans="1:7" x14ac:dyDescent="0.35">
      <c r="A83" t="s">
        <v>4204</v>
      </c>
      <c r="B83" t="s">
        <v>2292</v>
      </c>
      <c r="C83" t="s">
        <v>1849</v>
      </c>
      <c r="D83" t="s">
        <v>613</v>
      </c>
      <c r="E83" t="s">
        <v>4</v>
      </c>
      <c r="F83">
        <f>1310/40</f>
        <v>32.75</v>
      </c>
      <c r="G83" t="s">
        <v>597</v>
      </c>
    </row>
    <row r="85" spans="1:7" x14ac:dyDescent="0.35">
      <c r="A85" t="s">
        <v>4231</v>
      </c>
      <c r="B85" t="s">
        <v>1230</v>
      </c>
      <c r="C85" t="s">
        <v>1127</v>
      </c>
      <c r="D85" t="s">
        <v>35</v>
      </c>
      <c r="E85" t="s">
        <v>4</v>
      </c>
      <c r="F85">
        <f>299/6</f>
        <v>49.833333333333336</v>
      </c>
      <c r="G85" t="s">
        <v>5</v>
      </c>
    </row>
    <row r="87" spans="1:7" x14ac:dyDescent="0.35">
      <c r="A87" t="s">
        <v>4240</v>
      </c>
      <c r="B87" t="s">
        <v>983</v>
      </c>
      <c r="C87" t="s">
        <v>30</v>
      </c>
      <c r="D87" t="s">
        <v>3729</v>
      </c>
      <c r="E87" t="s">
        <v>4</v>
      </c>
      <c r="F87">
        <f>101/0.12</f>
        <v>841.66666666666674</v>
      </c>
      <c r="G87" t="s">
        <v>5</v>
      </c>
    </row>
    <row r="89" spans="1:7" x14ac:dyDescent="0.35">
      <c r="A89" t="s">
        <v>4246</v>
      </c>
      <c r="B89" t="s">
        <v>514</v>
      </c>
      <c r="C89" t="s">
        <v>4247</v>
      </c>
      <c r="D89" t="s">
        <v>89</v>
      </c>
      <c r="E89" t="s">
        <v>4</v>
      </c>
      <c r="F89">
        <f>48/4</f>
        <v>12</v>
      </c>
      <c r="G89" t="s">
        <v>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4ECBD-0FD2-4680-B2C3-3F14F9FD97DB}">
  <dimension ref="A1:G21"/>
  <sheetViews>
    <sheetView workbookViewId="0">
      <selection activeCell="A23" sqref="A23"/>
    </sheetView>
  </sheetViews>
  <sheetFormatPr defaultRowHeight="14.5" x14ac:dyDescent="0.35"/>
  <sheetData>
    <row r="1" spans="1:7" x14ac:dyDescent="0.35">
      <c r="A1" s="2" t="s">
        <v>251</v>
      </c>
      <c r="B1" s="2" t="s">
        <v>77</v>
      </c>
      <c r="C1" s="2" t="s">
        <v>30</v>
      </c>
      <c r="D1" s="2" t="s">
        <v>252</v>
      </c>
      <c r="E1" s="2" t="s">
        <v>4</v>
      </c>
      <c r="F1" s="2">
        <f>480/0.2</f>
        <v>2400</v>
      </c>
      <c r="G1" s="2" t="s">
        <v>5</v>
      </c>
    </row>
    <row r="3" spans="1:7" x14ac:dyDescent="0.35">
      <c r="A3" t="s">
        <v>306</v>
      </c>
      <c r="B3" t="s">
        <v>307</v>
      </c>
      <c r="C3" t="s">
        <v>308</v>
      </c>
      <c r="D3" t="s">
        <v>309</v>
      </c>
      <c r="E3" t="s">
        <v>4</v>
      </c>
      <c r="F3">
        <f>125/17</f>
        <v>7.3529411764705879</v>
      </c>
      <c r="G3" t="s">
        <v>10</v>
      </c>
    </row>
    <row r="5" spans="1:7" x14ac:dyDescent="0.35">
      <c r="A5" t="s">
        <v>996</v>
      </c>
      <c r="B5" t="s">
        <v>997</v>
      </c>
      <c r="C5" t="s">
        <v>998</v>
      </c>
      <c r="D5" t="s">
        <v>258</v>
      </c>
      <c r="E5" t="s">
        <v>4</v>
      </c>
      <c r="F5">
        <f>584/5</f>
        <v>116.8</v>
      </c>
      <c r="G5" t="s">
        <v>5</v>
      </c>
    </row>
    <row r="7" spans="1:7" x14ac:dyDescent="0.35">
      <c r="A7" t="s">
        <v>1113</v>
      </c>
      <c r="B7" t="s">
        <v>1114</v>
      </c>
      <c r="C7" t="s">
        <v>707</v>
      </c>
      <c r="D7" t="s">
        <v>971</v>
      </c>
      <c r="E7" t="s">
        <v>4</v>
      </c>
      <c r="F7">
        <f>251/10.5</f>
        <v>23.904761904761905</v>
      </c>
      <c r="G7" t="s">
        <v>5</v>
      </c>
    </row>
    <row r="9" spans="1:7" x14ac:dyDescent="0.35">
      <c r="A9" t="s">
        <v>1297</v>
      </c>
      <c r="B9" t="s">
        <v>1298</v>
      </c>
      <c r="C9" t="s">
        <v>1125</v>
      </c>
      <c r="D9" t="s">
        <v>366</v>
      </c>
      <c r="E9" t="s">
        <v>4</v>
      </c>
      <c r="F9">
        <f>205/14</f>
        <v>14.642857142857142</v>
      </c>
      <c r="G9" t="s">
        <v>10</v>
      </c>
    </row>
    <row r="11" spans="1:7" x14ac:dyDescent="0.35">
      <c r="A11" t="s">
        <v>1924</v>
      </c>
      <c r="B11" t="s">
        <v>132</v>
      </c>
      <c r="C11" t="s">
        <v>1925</v>
      </c>
      <c r="D11" t="s">
        <v>79</v>
      </c>
      <c r="E11" t="s">
        <v>4</v>
      </c>
      <c r="F11">
        <f>388/10</f>
        <v>38.799999999999997</v>
      </c>
      <c r="G11" t="s">
        <v>5</v>
      </c>
    </row>
    <row r="13" spans="1:7" x14ac:dyDescent="0.35">
      <c r="A13" t="s">
        <v>2894</v>
      </c>
      <c r="B13" t="s">
        <v>91</v>
      </c>
      <c r="C13" t="s">
        <v>1453</v>
      </c>
      <c r="D13" t="s">
        <v>134</v>
      </c>
      <c r="E13" t="s">
        <v>4</v>
      </c>
      <c r="F13">
        <f>157/12</f>
        <v>13.083333333333334</v>
      </c>
      <c r="G13" t="s">
        <v>10</v>
      </c>
    </row>
    <row r="15" spans="1:7" x14ac:dyDescent="0.35">
      <c r="A15" t="s">
        <v>3628</v>
      </c>
      <c r="B15" t="s">
        <v>396</v>
      </c>
      <c r="C15" t="s">
        <v>796</v>
      </c>
      <c r="D15" t="s">
        <v>467</v>
      </c>
      <c r="E15" t="s">
        <v>4</v>
      </c>
      <c r="F15">
        <f>1390/23</f>
        <v>60.434782608695649</v>
      </c>
      <c r="G15" t="s">
        <v>5</v>
      </c>
    </row>
    <row r="17" spans="1:7" x14ac:dyDescent="0.35">
      <c r="A17" t="s">
        <v>3752</v>
      </c>
      <c r="B17" t="s">
        <v>469</v>
      </c>
      <c r="C17" t="s">
        <v>1730</v>
      </c>
      <c r="D17" t="s">
        <v>79</v>
      </c>
      <c r="E17" t="s">
        <v>4</v>
      </c>
      <c r="F17">
        <f>300/10</f>
        <v>30</v>
      </c>
      <c r="G17" t="s">
        <v>5</v>
      </c>
    </row>
    <row r="19" spans="1:7" x14ac:dyDescent="0.35">
      <c r="A19" t="s">
        <v>3846</v>
      </c>
      <c r="B19" t="s">
        <v>217</v>
      </c>
      <c r="C19" t="s">
        <v>1775</v>
      </c>
      <c r="D19" t="s">
        <v>134</v>
      </c>
      <c r="E19" t="s">
        <v>4</v>
      </c>
      <c r="F19">
        <f>71.5/12</f>
        <v>5.958333333333333</v>
      </c>
      <c r="G19" t="s">
        <v>10</v>
      </c>
    </row>
    <row r="21" spans="1:7" x14ac:dyDescent="0.35">
      <c r="A21" t="s">
        <v>3960</v>
      </c>
      <c r="B21" t="s">
        <v>3961</v>
      </c>
      <c r="C21" t="s">
        <v>2608</v>
      </c>
      <c r="D21" t="s">
        <v>122</v>
      </c>
      <c r="E21" t="s">
        <v>4</v>
      </c>
      <c r="F21">
        <f>254/16</f>
        <v>15.875</v>
      </c>
      <c r="G21" t="s">
        <v>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3809-5B27-4297-92B7-C288084A7057}">
  <dimension ref="A1:H91"/>
  <sheetViews>
    <sheetView topLeftCell="A64" workbookViewId="0">
      <selection activeCell="A93" sqref="A93"/>
    </sheetView>
  </sheetViews>
  <sheetFormatPr defaultRowHeight="14.5" x14ac:dyDescent="0.35"/>
  <sheetData>
    <row r="1" spans="1:8" x14ac:dyDescent="0.35">
      <c r="A1" s="2" t="s">
        <v>201</v>
      </c>
      <c r="B1" s="2" t="s">
        <v>202</v>
      </c>
      <c r="C1" s="2" t="s">
        <v>203</v>
      </c>
      <c r="D1" s="2" t="s">
        <v>204</v>
      </c>
      <c r="E1" s="2" t="s">
        <v>4</v>
      </c>
      <c r="F1" s="2">
        <f>764/8.25</f>
        <v>92.606060606060609</v>
      </c>
      <c r="G1" s="2" t="s">
        <v>5</v>
      </c>
      <c r="H1" s="2"/>
    </row>
    <row r="2" spans="1:8" x14ac:dyDescent="0.35">
      <c r="A2" s="2"/>
      <c r="B2" s="2"/>
      <c r="C2" s="2"/>
      <c r="D2" s="2"/>
      <c r="E2" s="2"/>
      <c r="F2" s="2"/>
      <c r="G2" s="2"/>
      <c r="H2" s="2"/>
    </row>
    <row r="3" spans="1:8" x14ac:dyDescent="0.35">
      <c r="A3" s="2" t="s">
        <v>332</v>
      </c>
      <c r="B3" s="2" t="s">
        <v>333</v>
      </c>
      <c r="C3" s="2" t="s">
        <v>334</v>
      </c>
      <c r="D3" s="2" t="s">
        <v>258</v>
      </c>
      <c r="E3" s="2" t="s">
        <v>4</v>
      </c>
      <c r="F3" s="2">
        <f>131/5</f>
        <v>26.2</v>
      </c>
      <c r="G3" s="2" t="s">
        <v>5</v>
      </c>
      <c r="H3" s="2"/>
    </row>
    <row r="4" spans="1:8" x14ac:dyDescent="0.35">
      <c r="A4" s="2"/>
      <c r="B4" s="2"/>
      <c r="C4" s="2"/>
      <c r="D4" s="2"/>
      <c r="E4" s="2"/>
      <c r="F4" s="2"/>
      <c r="G4" s="2"/>
      <c r="H4" s="2"/>
    </row>
    <row r="5" spans="1:8" x14ac:dyDescent="0.35">
      <c r="A5" s="2" t="s">
        <v>335</v>
      </c>
      <c r="B5" s="2" t="s">
        <v>336</v>
      </c>
      <c r="C5" s="2" t="s">
        <v>337</v>
      </c>
      <c r="D5" s="2" t="s">
        <v>338</v>
      </c>
      <c r="E5" s="2" t="s">
        <v>4</v>
      </c>
      <c r="F5" s="2">
        <f>258/7.8</f>
        <v>33.07692307692308</v>
      </c>
      <c r="G5" s="2" t="s">
        <v>5</v>
      </c>
      <c r="H5" s="2"/>
    </row>
    <row r="7" spans="1:8" x14ac:dyDescent="0.35">
      <c r="A7" t="s">
        <v>986</v>
      </c>
      <c r="B7" t="s">
        <v>983</v>
      </c>
      <c r="C7" t="s">
        <v>987</v>
      </c>
      <c r="D7" t="s">
        <v>988</v>
      </c>
      <c r="E7" t="s">
        <v>4</v>
      </c>
      <c r="F7">
        <f>8.68/0.6</f>
        <v>14.466666666666667</v>
      </c>
      <c r="G7" t="s">
        <v>10</v>
      </c>
    </row>
    <row r="9" spans="1:8" x14ac:dyDescent="0.35">
      <c r="A9" s="1" t="s">
        <v>1235</v>
      </c>
      <c r="B9" s="1" t="s">
        <v>1236</v>
      </c>
      <c r="C9" s="1" t="s">
        <v>1237</v>
      </c>
      <c r="D9" s="1" t="s">
        <v>1238</v>
      </c>
      <c r="E9" s="1" t="s">
        <v>4</v>
      </c>
      <c r="F9" s="1">
        <f>3750/128</f>
        <v>29.296875</v>
      </c>
      <c r="G9" s="1" t="s">
        <v>10</v>
      </c>
    </row>
    <row r="11" spans="1:8" x14ac:dyDescent="0.35">
      <c r="A11" t="s">
        <v>1252</v>
      </c>
      <c r="B11" t="s">
        <v>1253</v>
      </c>
      <c r="C11" t="s">
        <v>1254</v>
      </c>
      <c r="D11" t="s">
        <v>43</v>
      </c>
      <c r="E11" t="s">
        <v>4</v>
      </c>
      <c r="F11">
        <f>106/7.2</f>
        <v>14.722222222222221</v>
      </c>
      <c r="G11" t="s">
        <v>1255</v>
      </c>
    </row>
    <row r="13" spans="1:8" x14ac:dyDescent="0.35">
      <c r="A13" t="s">
        <v>1380</v>
      </c>
      <c r="B13" t="s">
        <v>1381</v>
      </c>
      <c r="C13" t="s">
        <v>1382</v>
      </c>
      <c r="D13" t="s">
        <v>768</v>
      </c>
      <c r="E13" t="s">
        <v>4</v>
      </c>
      <c r="F13">
        <f>710/52</f>
        <v>13.653846153846153</v>
      </c>
      <c r="G13" t="s">
        <v>10</v>
      </c>
    </row>
    <row r="15" spans="1:8" x14ac:dyDescent="0.35">
      <c r="A15" t="s">
        <v>1523</v>
      </c>
      <c r="B15" t="s">
        <v>1466</v>
      </c>
      <c r="C15" t="s">
        <v>225</v>
      </c>
      <c r="D15" t="s">
        <v>1181</v>
      </c>
      <c r="E15" t="s">
        <v>4</v>
      </c>
      <c r="F15">
        <f>104/1.5</f>
        <v>69.333333333333329</v>
      </c>
      <c r="G15" t="s">
        <v>5</v>
      </c>
    </row>
    <row r="17" spans="1:7" x14ac:dyDescent="0.35">
      <c r="A17" t="s">
        <v>1585</v>
      </c>
      <c r="B17" t="s">
        <v>1586</v>
      </c>
      <c r="C17" t="s">
        <v>1587</v>
      </c>
      <c r="D17" t="s">
        <v>1588</v>
      </c>
      <c r="E17" t="s">
        <v>4</v>
      </c>
      <c r="F17">
        <f>3989/125</f>
        <v>31.911999999999999</v>
      </c>
      <c r="G17" t="s">
        <v>5</v>
      </c>
    </row>
    <row r="19" spans="1:7" x14ac:dyDescent="0.35">
      <c r="A19" t="s">
        <v>1670</v>
      </c>
      <c r="B19" t="s">
        <v>1671</v>
      </c>
      <c r="C19" t="s">
        <v>1672</v>
      </c>
      <c r="D19" t="s">
        <v>1112</v>
      </c>
      <c r="E19" t="s">
        <v>4</v>
      </c>
      <c r="F19">
        <f>110/6.5</f>
        <v>16.923076923076923</v>
      </c>
      <c r="G19" t="s">
        <v>5</v>
      </c>
    </row>
    <row r="21" spans="1:7" x14ac:dyDescent="0.35">
      <c r="A21" t="s">
        <v>1699</v>
      </c>
      <c r="B21" t="s">
        <v>556</v>
      </c>
      <c r="C21" t="s">
        <v>1700</v>
      </c>
      <c r="D21" t="s">
        <v>494</v>
      </c>
      <c r="E21" t="s">
        <v>4</v>
      </c>
      <c r="F21">
        <f>150/34</f>
        <v>4.4117647058823533</v>
      </c>
      <c r="G21" t="s">
        <v>10</v>
      </c>
    </row>
    <row r="23" spans="1:7" x14ac:dyDescent="0.35">
      <c r="A23" s="1" t="s">
        <v>1871</v>
      </c>
      <c r="B23" s="1" t="s">
        <v>519</v>
      </c>
      <c r="C23" s="1" t="s">
        <v>1872</v>
      </c>
      <c r="D23" s="1" t="s">
        <v>1059</v>
      </c>
      <c r="E23" s="1" t="s">
        <v>4</v>
      </c>
      <c r="F23" s="1">
        <f>108/17.5</f>
        <v>6.1714285714285717</v>
      </c>
      <c r="G23" s="1" t="s">
        <v>10</v>
      </c>
    </row>
    <row r="25" spans="1:7" x14ac:dyDescent="0.35">
      <c r="A25" t="s">
        <v>2261</v>
      </c>
      <c r="B25" t="s">
        <v>245</v>
      </c>
      <c r="C25" t="s">
        <v>2262</v>
      </c>
      <c r="D25" t="s">
        <v>86</v>
      </c>
      <c r="E25" t="s">
        <v>4</v>
      </c>
      <c r="F25">
        <f>474/22</f>
        <v>21.545454545454547</v>
      </c>
      <c r="G25" t="s">
        <v>5</v>
      </c>
    </row>
    <row r="27" spans="1:7" x14ac:dyDescent="0.35">
      <c r="A27" t="s">
        <v>2399</v>
      </c>
      <c r="B27" t="s">
        <v>731</v>
      </c>
      <c r="C27" t="s">
        <v>2400</v>
      </c>
      <c r="D27" t="s">
        <v>768</v>
      </c>
      <c r="E27" t="s">
        <v>4</v>
      </c>
      <c r="F27">
        <f>570/52</f>
        <v>10.961538461538462</v>
      </c>
      <c r="G27" t="s">
        <v>10</v>
      </c>
    </row>
    <row r="29" spans="1:7" x14ac:dyDescent="0.35">
      <c r="A29" t="s">
        <v>2505</v>
      </c>
      <c r="B29" t="s">
        <v>2506</v>
      </c>
      <c r="C29" t="s">
        <v>2507</v>
      </c>
      <c r="D29" t="s">
        <v>309</v>
      </c>
      <c r="E29" t="s">
        <v>4</v>
      </c>
      <c r="F29">
        <f>320/17</f>
        <v>18.823529411764707</v>
      </c>
      <c r="G29" t="s">
        <v>5</v>
      </c>
    </row>
    <row r="31" spans="1:7" x14ac:dyDescent="0.35">
      <c r="A31" t="s">
        <v>2533</v>
      </c>
      <c r="B31" t="s">
        <v>2534</v>
      </c>
      <c r="C31" t="s">
        <v>2535</v>
      </c>
      <c r="D31" t="s">
        <v>130</v>
      </c>
      <c r="E31" t="s">
        <v>4</v>
      </c>
      <c r="F31">
        <f>991/100</f>
        <v>9.91</v>
      </c>
      <c r="G31" t="s">
        <v>10</v>
      </c>
    </row>
    <row r="33" spans="1:7" x14ac:dyDescent="0.35">
      <c r="A33" t="s">
        <v>2654</v>
      </c>
      <c r="B33" t="s">
        <v>725</v>
      </c>
      <c r="C33" t="s">
        <v>1144</v>
      </c>
      <c r="D33" t="s">
        <v>93</v>
      </c>
      <c r="E33" t="s">
        <v>4</v>
      </c>
      <c r="F33">
        <f>53/4.5</f>
        <v>11.777777777777779</v>
      </c>
      <c r="G33" t="s">
        <v>10</v>
      </c>
    </row>
    <row r="35" spans="1:7" x14ac:dyDescent="0.35">
      <c r="A35" t="s">
        <v>2659</v>
      </c>
      <c r="B35" t="s">
        <v>2660</v>
      </c>
      <c r="C35" t="s">
        <v>973</v>
      </c>
      <c r="D35" t="s">
        <v>265</v>
      </c>
      <c r="E35" t="s">
        <v>4</v>
      </c>
      <c r="F35">
        <f>457/45</f>
        <v>10.155555555555555</v>
      </c>
      <c r="G35" t="s">
        <v>10</v>
      </c>
    </row>
    <row r="37" spans="1:7" x14ac:dyDescent="0.35">
      <c r="A37" t="s">
        <v>2676</v>
      </c>
      <c r="B37" t="s">
        <v>1845</v>
      </c>
      <c r="C37" t="s">
        <v>2677</v>
      </c>
      <c r="D37" t="s">
        <v>1454</v>
      </c>
      <c r="E37" t="s">
        <v>4</v>
      </c>
      <c r="F37">
        <f>124/11.5</f>
        <v>10.782608695652174</v>
      </c>
      <c r="G37" t="s">
        <v>10</v>
      </c>
    </row>
    <row r="39" spans="1:7" x14ac:dyDescent="0.35">
      <c r="A39" t="s">
        <v>2751</v>
      </c>
      <c r="B39" t="s">
        <v>2752</v>
      </c>
      <c r="C39" t="s">
        <v>2255</v>
      </c>
      <c r="D39" t="s">
        <v>178</v>
      </c>
      <c r="E39" t="s">
        <v>4</v>
      </c>
      <c r="F39">
        <f>149/15</f>
        <v>9.9333333333333336</v>
      </c>
      <c r="G39" t="s">
        <v>10</v>
      </c>
    </row>
    <row r="41" spans="1:7" x14ac:dyDescent="0.35">
      <c r="A41" t="s">
        <v>2776</v>
      </c>
      <c r="B41" t="s">
        <v>703</v>
      </c>
      <c r="C41" t="s">
        <v>191</v>
      </c>
      <c r="D41" t="s">
        <v>59</v>
      </c>
      <c r="E41" t="s">
        <v>4</v>
      </c>
      <c r="F41">
        <f>264/13</f>
        <v>20.307692307692307</v>
      </c>
      <c r="G41" t="s">
        <v>10</v>
      </c>
    </row>
    <row r="43" spans="1:7" x14ac:dyDescent="0.35">
      <c r="A43" t="s">
        <v>2819</v>
      </c>
      <c r="B43" t="s">
        <v>2820</v>
      </c>
      <c r="C43" t="s">
        <v>2821</v>
      </c>
      <c r="D43" t="s">
        <v>1454</v>
      </c>
      <c r="E43" t="s">
        <v>4</v>
      </c>
      <c r="F43">
        <f>158/11.5</f>
        <v>13.739130434782609</v>
      </c>
      <c r="G43" t="s">
        <v>10</v>
      </c>
    </row>
    <row r="45" spans="1:7" x14ac:dyDescent="0.35">
      <c r="A45" t="s">
        <v>2826</v>
      </c>
      <c r="B45" t="s">
        <v>2345</v>
      </c>
      <c r="C45" t="s">
        <v>30</v>
      </c>
      <c r="D45" t="s">
        <v>31</v>
      </c>
      <c r="E45" t="s">
        <v>4</v>
      </c>
    </row>
    <row r="47" spans="1:7" x14ac:dyDescent="0.35">
      <c r="A47" t="s">
        <v>2842</v>
      </c>
      <c r="B47" t="s">
        <v>2843</v>
      </c>
      <c r="C47" t="s">
        <v>2844</v>
      </c>
      <c r="D47" t="s">
        <v>1249</v>
      </c>
      <c r="E47" t="s">
        <v>4</v>
      </c>
      <c r="F47">
        <f>640/28</f>
        <v>22.857142857142858</v>
      </c>
      <c r="G47" t="s">
        <v>10</v>
      </c>
    </row>
    <row r="49" spans="1:7" x14ac:dyDescent="0.35">
      <c r="A49" t="s">
        <v>2914</v>
      </c>
      <c r="B49" t="s">
        <v>1752</v>
      </c>
      <c r="C49" t="s">
        <v>2915</v>
      </c>
      <c r="D49" t="s">
        <v>89</v>
      </c>
      <c r="E49" t="s">
        <v>4</v>
      </c>
      <c r="F49">
        <f>95/4</f>
        <v>23.75</v>
      </c>
      <c r="G49" t="s">
        <v>10</v>
      </c>
    </row>
    <row r="51" spans="1:7" x14ac:dyDescent="0.35">
      <c r="A51" t="s">
        <v>2941</v>
      </c>
      <c r="B51" t="s">
        <v>2473</v>
      </c>
      <c r="C51" t="s">
        <v>2942</v>
      </c>
      <c r="D51" t="s">
        <v>134</v>
      </c>
      <c r="E51" t="s">
        <v>4</v>
      </c>
      <c r="F51">
        <f>178/12</f>
        <v>14.833333333333334</v>
      </c>
      <c r="G51" t="s">
        <v>10</v>
      </c>
    </row>
    <row r="53" spans="1:7" x14ac:dyDescent="0.35">
      <c r="A53" t="s">
        <v>2949</v>
      </c>
      <c r="B53" t="s">
        <v>2950</v>
      </c>
      <c r="C53" t="s">
        <v>2951</v>
      </c>
      <c r="D53" t="s">
        <v>178</v>
      </c>
      <c r="E53" t="s">
        <v>4</v>
      </c>
      <c r="F53">
        <f>286/15</f>
        <v>19.066666666666666</v>
      </c>
      <c r="G53" t="s">
        <v>10</v>
      </c>
    </row>
    <row r="55" spans="1:7" x14ac:dyDescent="0.35">
      <c r="A55" t="s">
        <v>2990</v>
      </c>
      <c r="B55" t="s">
        <v>2991</v>
      </c>
      <c r="C55" t="s">
        <v>806</v>
      </c>
      <c r="D55" t="s">
        <v>229</v>
      </c>
      <c r="E55" t="s">
        <v>4</v>
      </c>
      <c r="F55">
        <f>234/31</f>
        <v>7.5483870967741939</v>
      </c>
      <c r="G55" t="s">
        <v>5</v>
      </c>
    </row>
    <row r="57" spans="1:7" x14ac:dyDescent="0.35">
      <c r="A57" t="s">
        <v>3025</v>
      </c>
      <c r="B57" t="s">
        <v>3023</v>
      </c>
      <c r="C57" t="s">
        <v>3024</v>
      </c>
      <c r="D57" t="s">
        <v>498</v>
      </c>
      <c r="E57" t="s">
        <v>4</v>
      </c>
      <c r="F57">
        <f>250/8</f>
        <v>31.25</v>
      </c>
      <c r="G57" t="s">
        <v>597</v>
      </c>
    </row>
    <row r="59" spans="1:7" x14ac:dyDescent="0.35">
      <c r="A59" t="s">
        <v>3330</v>
      </c>
      <c r="B59" t="s">
        <v>2833</v>
      </c>
      <c r="C59" t="s">
        <v>3331</v>
      </c>
      <c r="D59" t="s">
        <v>134</v>
      </c>
      <c r="E59" t="s">
        <v>4</v>
      </c>
      <c r="F59">
        <f>346/12</f>
        <v>28.833333333333332</v>
      </c>
      <c r="G59" t="s">
        <v>5</v>
      </c>
    </row>
    <row r="61" spans="1:7" x14ac:dyDescent="0.35">
      <c r="A61" t="s">
        <v>3343</v>
      </c>
      <c r="B61" t="s">
        <v>3344</v>
      </c>
      <c r="C61" t="s">
        <v>3345</v>
      </c>
      <c r="D61" t="s">
        <v>768</v>
      </c>
      <c r="E61" t="s">
        <v>4</v>
      </c>
      <c r="F61">
        <f>850/52</f>
        <v>16.346153846153847</v>
      </c>
      <c r="G61" t="s">
        <v>10</v>
      </c>
    </row>
    <row r="63" spans="1:7" x14ac:dyDescent="0.35">
      <c r="A63" t="s">
        <v>3379</v>
      </c>
      <c r="B63" t="s">
        <v>3380</v>
      </c>
      <c r="C63" t="s">
        <v>3381</v>
      </c>
      <c r="D63" t="s">
        <v>3382</v>
      </c>
      <c r="E63" t="s">
        <v>4</v>
      </c>
      <c r="F63">
        <f>470/100</f>
        <v>4.7</v>
      </c>
      <c r="G63" t="s">
        <v>10</v>
      </c>
    </row>
    <row r="65" spans="1:7" x14ac:dyDescent="0.35">
      <c r="A65" t="s">
        <v>3421</v>
      </c>
      <c r="B65" t="s">
        <v>2080</v>
      </c>
      <c r="C65" t="s">
        <v>3422</v>
      </c>
      <c r="D65" t="s">
        <v>1191</v>
      </c>
      <c r="E65" t="s">
        <v>4</v>
      </c>
      <c r="F65">
        <f>54/1</f>
        <v>54</v>
      </c>
      <c r="G65" t="s">
        <v>5</v>
      </c>
    </row>
    <row r="67" spans="1:7" x14ac:dyDescent="0.35">
      <c r="A67" t="s">
        <v>3428</v>
      </c>
      <c r="B67" t="s">
        <v>2122</v>
      </c>
      <c r="C67" t="s">
        <v>3429</v>
      </c>
      <c r="D67" t="s">
        <v>387</v>
      </c>
      <c r="E67" t="s">
        <v>4</v>
      </c>
      <c r="F67">
        <f>117/7</f>
        <v>16.714285714285715</v>
      </c>
      <c r="G67" t="s">
        <v>10</v>
      </c>
    </row>
    <row r="69" spans="1:7" x14ac:dyDescent="0.35">
      <c r="A69" t="s">
        <v>3445</v>
      </c>
      <c r="B69" t="s">
        <v>579</v>
      </c>
      <c r="C69" t="s">
        <v>3446</v>
      </c>
      <c r="D69" t="s">
        <v>164</v>
      </c>
      <c r="E69" t="s">
        <v>4</v>
      </c>
      <c r="F69">
        <f>254/25</f>
        <v>10.16</v>
      </c>
      <c r="G69" t="s">
        <v>10</v>
      </c>
    </row>
    <row r="71" spans="1:7" x14ac:dyDescent="0.35">
      <c r="A71" t="s">
        <v>3680</v>
      </c>
      <c r="B71" t="s">
        <v>2139</v>
      </c>
      <c r="C71" t="s">
        <v>3681</v>
      </c>
      <c r="D71" t="s">
        <v>59</v>
      </c>
      <c r="E71" t="s">
        <v>4</v>
      </c>
      <c r="F71">
        <f>206/13</f>
        <v>15.846153846153847</v>
      </c>
      <c r="G71" t="s">
        <v>10</v>
      </c>
    </row>
    <row r="73" spans="1:7" x14ac:dyDescent="0.35">
      <c r="A73" t="s">
        <v>3817</v>
      </c>
      <c r="B73" t="s">
        <v>65</v>
      </c>
      <c r="C73" t="s">
        <v>3818</v>
      </c>
      <c r="D73" t="s">
        <v>258</v>
      </c>
      <c r="E73" t="s">
        <v>4</v>
      </c>
      <c r="F73">
        <f>230/5</f>
        <v>46</v>
      </c>
      <c r="G73" t="s">
        <v>5</v>
      </c>
    </row>
    <row r="75" spans="1:7" x14ac:dyDescent="0.35">
      <c r="A75" t="s">
        <v>3869</v>
      </c>
      <c r="B75" t="s">
        <v>3870</v>
      </c>
      <c r="C75" t="s">
        <v>3871</v>
      </c>
      <c r="D75" t="s">
        <v>768</v>
      </c>
      <c r="E75" t="s">
        <v>4</v>
      </c>
      <c r="F75">
        <f>672/52</f>
        <v>12.923076923076923</v>
      </c>
      <c r="G75" t="s">
        <v>10</v>
      </c>
    </row>
    <row r="77" spans="1:7" x14ac:dyDescent="0.35">
      <c r="A77" t="s">
        <v>3887</v>
      </c>
      <c r="B77" t="s">
        <v>3888</v>
      </c>
      <c r="C77" t="s">
        <v>3615</v>
      </c>
      <c r="D77" t="s">
        <v>19</v>
      </c>
      <c r="E77" t="s">
        <v>4</v>
      </c>
      <c r="F77">
        <f>194/9</f>
        <v>21.555555555555557</v>
      </c>
      <c r="G77" t="s">
        <v>10</v>
      </c>
    </row>
    <row r="79" spans="1:7" x14ac:dyDescent="0.35">
      <c r="A79" t="s">
        <v>3902</v>
      </c>
      <c r="B79" t="s">
        <v>1551</v>
      </c>
      <c r="C79" t="s">
        <v>3081</v>
      </c>
      <c r="D79" t="s">
        <v>188</v>
      </c>
      <c r="E79" t="s">
        <v>4</v>
      </c>
      <c r="F79">
        <f>30/3.5</f>
        <v>8.5714285714285712</v>
      </c>
      <c r="G79" t="s">
        <v>10</v>
      </c>
    </row>
    <row r="81" spans="1:7" x14ac:dyDescent="0.35">
      <c r="A81" t="s">
        <v>3966</v>
      </c>
      <c r="B81" t="s">
        <v>227</v>
      </c>
      <c r="C81" t="s">
        <v>3967</v>
      </c>
      <c r="D81" t="s">
        <v>419</v>
      </c>
      <c r="E81" t="s">
        <v>4</v>
      </c>
      <c r="F81">
        <f>800/37</f>
        <v>21.621621621621621</v>
      </c>
      <c r="G81" t="s">
        <v>597</v>
      </c>
    </row>
    <row r="83" spans="1:7" x14ac:dyDescent="0.35">
      <c r="A83" t="s">
        <v>4016</v>
      </c>
      <c r="B83" t="s">
        <v>2634</v>
      </c>
      <c r="C83" t="s">
        <v>2766</v>
      </c>
      <c r="D83" t="s">
        <v>134</v>
      </c>
      <c r="E83" t="s">
        <v>4</v>
      </c>
      <c r="F83">
        <f>162/12</f>
        <v>13.5</v>
      </c>
      <c r="G83" t="s">
        <v>10</v>
      </c>
    </row>
    <row r="85" spans="1:7" x14ac:dyDescent="0.35">
      <c r="A85" t="s">
        <v>4019</v>
      </c>
      <c r="B85" t="s">
        <v>1285</v>
      </c>
      <c r="C85" t="s">
        <v>1231</v>
      </c>
      <c r="D85" t="s">
        <v>815</v>
      </c>
      <c r="E85" t="s">
        <v>4</v>
      </c>
      <c r="F85">
        <f>108/32</f>
        <v>3.375</v>
      </c>
      <c r="G85" t="s">
        <v>10</v>
      </c>
    </row>
    <row r="87" spans="1:7" x14ac:dyDescent="0.35">
      <c r="A87" t="s">
        <v>4134</v>
      </c>
      <c r="B87" t="s">
        <v>4135</v>
      </c>
      <c r="C87" t="s">
        <v>2064</v>
      </c>
      <c r="D87" t="s">
        <v>3198</v>
      </c>
      <c r="E87" t="s">
        <v>4</v>
      </c>
      <c r="F87">
        <f>42.5/1.3</f>
        <v>32.692307692307693</v>
      </c>
      <c r="G87" t="s">
        <v>5</v>
      </c>
    </row>
    <row r="89" spans="1:7" x14ac:dyDescent="0.35">
      <c r="A89" t="s">
        <v>4170</v>
      </c>
      <c r="B89" t="s">
        <v>3107</v>
      </c>
      <c r="C89" t="s">
        <v>2135</v>
      </c>
      <c r="D89" t="s">
        <v>280</v>
      </c>
      <c r="E89" t="s">
        <v>4</v>
      </c>
      <c r="F89">
        <f>304/20</f>
        <v>15.2</v>
      </c>
      <c r="G89" t="s">
        <v>10</v>
      </c>
    </row>
    <row r="91" spans="1:7" x14ac:dyDescent="0.35">
      <c r="A91" t="s">
        <v>4270</v>
      </c>
      <c r="B91" t="s">
        <v>4271</v>
      </c>
      <c r="C91" t="s">
        <v>4034</v>
      </c>
      <c r="D91" t="s">
        <v>27</v>
      </c>
      <c r="E91" t="s">
        <v>4</v>
      </c>
      <c r="F91">
        <f>434/35</f>
        <v>12.4</v>
      </c>
      <c r="G91" t="s">
        <v>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684E-B090-4E63-B34C-27949982E79C}">
  <dimension ref="A1:H30"/>
  <sheetViews>
    <sheetView topLeftCell="A3" workbookViewId="0">
      <selection activeCell="A32" sqref="A32"/>
    </sheetView>
  </sheetViews>
  <sheetFormatPr defaultRowHeight="14.5" x14ac:dyDescent="0.35"/>
  <sheetData>
    <row r="1" spans="1:8" x14ac:dyDescent="0.35">
      <c r="A1" s="2" t="s">
        <v>97</v>
      </c>
      <c r="B1" s="2" t="s">
        <v>98</v>
      </c>
      <c r="C1" s="2" t="s">
        <v>99</v>
      </c>
      <c r="D1" s="2" t="s">
        <v>100</v>
      </c>
      <c r="E1" s="2" t="s">
        <v>4</v>
      </c>
      <c r="F1" s="2">
        <f>680/9.6</f>
        <v>70.833333333333343</v>
      </c>
      <c r="G1" s="2" t="s">
        <v>5</v>
      </c>
    </row>
    <row r="2" spans="1:8" x14ac:dyDescent="0.35">
      <c r="A2" s="2"/>
      <c r="B2" s="2"/>
      <c r="C2" s="2"/>
      <c r="D2" s="2" t="s">
        <v>101</v>
      </c>
      <c r="E2" s="2" t="s">
        <v>4</v>
      </c>
      <c r="F2" s="2">
        <f>680/12</f>
        <v>56.666666666666664</v>
      </c>
      <c r="G2" s="2" t="s">
        <v>5</v>
      </c>
    </row>
    <row r="3" spans="1:8" x14ac:dyDescent="0.35">
      <c r="A3" s="2"/>
      <c r="B3" s="2"/>
      <c r="C3" s="2"/>
      <c r="D3" s="2"/>
      <c r="E3" s="2"/>
      <c r="F3" s="2"/>
      <c r="G3" s="2"/>
    </row>
    <row r="4" spans="1:8" x14ac:dyDescent="0.35">
      <c r="A4" s="2" t="s">
        <v>117</v>
      </c>
      <c r="B4" s="2" t="s">
        <v>118</v>
      </c>
      <c r="C4" s="2" t="s">
        <v>8</v>
      </c>
      <c r="D4" s="2" t="s">
        <v>119</v>
      </c>
      <c r="E4" s="2" t="s">
        <v>4</v>
      </c>
      <c r="F4" s="2">
        <f>1900/59</f>
        <v>32.203389830508478</v>
      </c>
      <c r="G4" s="2" t="s">
        <v>5</v>
      </c>
    </row>
    <row r="5" spans="1:8" x14ac:dyDescent="0.35">
      <c r="A5" s="2"/>
      <c r="B5" s="2"/>
      <c r="C5" s="2"/>
      <c r="D5" s="2"/>
      <c r="E5" s="2"/>
      <c r="F5" s="2"/>
      <c r="G5" s="2"/>
    </row>
    <row r="6" spans="1:8" x14ac:dyDescent="0.35">
      <c r="A6" s="2" t="s">
        <v>244</v>
      </c>
      <c r="B6" s="2" t="s">
        <v>245</v>
      </c>
      <c r="C6" s="2" t="s">
        <v>246</v>
      </c>
      <c r="D6" s="2" t="s">
        <v>247</v>
      </c>
      <c r="E6" s="2" t="s">
        <v>4</v>
      </c>
      <c r="F6" s="2">
        <f>743/8.5</f>
        <v>87.411764705882348</v>
      </c>
      <c r="G6" s="2" t="s">
        <v>5</v>
      </c>
    </row>
    <row r="8" spans="1:8" x14ac:dyDescent="0.35">
      <c r="A8" s="2" t="s">
        <v>647</v>
      </c>
      <c r="B8" s="2" t="s">
        <v>648</v>
      </c>
      <c r="C8" s="2" t="s">
        <v>649</v>
      </c>
      <c r="D8" s="2" t="s">
        <v>650</v>
      </c>
      <c r="E8" s="2" t="s">
        <v>4</v>
      </c>
      <c r="F8" s="2">
        <f>137/1.4</f>
        <v>97.857142857142861</v>
      </c>
      <c r="G8" s="2" t="s">
        <v>5</v>
      </c>
      <c r="H8" s="2"/>
    </row>
    <row r="10" spans="1:8" x14ac:dyDescent="0.35">
      <c r="A10" s="2" t="s">
        <v>792</v>
      </c>
      <c r="B10" s="2" t="s">
        <v>793</v>
      </c>
      <c r="C10" s="2" t="s">
        <v>782</v>
      </c>
      <c r="D10" s="2" t="s">
        <v>35</v>
      </c>
      <c r="E10" s="2" t="s">
        <v>4</v>
      </c>
      <c r="F10" s="2">
        <f>325/6</f>
        <v>54.166666666666664</v>
      </c>
      <c r="G10" s="2" t="s">
        <v>5</v>
      </c>
    </row>
    <row r="12" spans="1:8" x14ac:dyDescent="0.35">
      <c r="A12" t="s">
        <v>1182</v>
      </c>
      <c r="B12" t="s">
        <v>1183</v>
      </c>
      <c r="C12" t="s">
        <v>1184</v>
      </c>
      <c r="D12" t="s">
        <v>153</v>
      </c>
      <c r="E12" t="s">
        <v>4</v>
      </c>
      <c r="F12">
        <f>2053/26</f>
        <v>78.961538461538467</v>
      </c>
      <c r="G12" t="s">
        <v>5</v>
      </c>
    </row>
    <row r="14" spans="1:8" x14ac:dyDescent="0.35">
      <c r="A14" t="s">
        <v>1299</v>
      </c>
      <c r="B14" t="s">
        <v>1287</v>
      </c>
      <c r="C14" t="s">
        <v>1300</v>
      </c>
      <c r="D14" t="s">
        <v>192</v>
      </c>
      <c r="E14" t="s">
        <v>4</v>
      </c>
      <c r="F14">
        <f>456/11</f>
        <v>41.454545454545453</v>
      </c>
      <c r="G14" t="s">
        <v>5</v>
      </c>
    </row>
    <row r="16" spans="1:8" x14ac:dyDescent="0.35">
      <c r="A16" t="s">
        <v>1494</v>
      </c>
      <c r="B16" t="s">
        <v>29</v>
      </c>
    </row>
    <row r="18" spans="1:7" x14ac:dyDescent="0.35">
      <c r="A18" t="s">
        <v>1715</v>
      </c>
      <c r="B18" t="s">
        <v>1716</v>
      </c>
      <c r="C18" t="s">
        <v>1111</v>
      </c>
      <c r="D18" t="s">
        <v>1002</v>
      </c>
      <c r="E18" t="s">
        <v>4</v>
      </c>
      <c r="F18">
        <f>149/7.5</f>
        <v>19.866666666666667</v>
      </c>
      <c r="G18" t="s">
        <v>5</v>
      </c>
    </row>
    <row r="20" spans="1:7" x14ac:dyDescent="0.35">
      <c r="A20" t="s">
        <v>1931</v>
      </c>
      <c r="B20" t="s">
        <v>231</v>
      </c>
      <c r="C20" t="s">
        <v>1932</v>
      </c>
      <c r="D20" t="s">
        <v>352</v>
      </c>
      <c r="E20" t="s">
        <v>4</v>
      </c>
      <c r="F20">
        <f>1560/18</f>
        <v>86.666666666666671</v>
      </c>
      <c r="G20" t="s">
        <v>5</v>
      </c>
    </row>
    <row r="22" spans="1:7" x14ac:dyDescent="0.35">
      <c r="A22" t="s">
        <v>2226</v>
      </c>
      <c r="B22" t="s">
        <v>850</v>
      </c>
      <c r="C22" t="s">
        <v>2227</v>
      </c>
      <c r="D22" t="s">
        <v>1983</v>
      </c>
      <c r="E22" t="s">
        <v>4</v>
      </c>
      <c r="F22">
        <f>2020/61</f>
        <v>33.114754098360656</v>
      </c>
      <c r="G22" t="s">
        <v>5</v>
      </c>
    </row>
    <row r="24" spans="1:7" x14ac:dyDescent="0.35">
      <c r="A24" t="s">
        <v>2571</v>
      </c>
      <c r="B24" t="s">
        <v>2345</v>
      </c>
      <c r="C24" t="s">
        <v>2572</v>
      </c>
      <c r="D24" t="s">
        <v>79</v>
      </c>
      <c r="E24" t="s">
        <v>4</v>
      </c>
      <c r="F24">
        <f>400/10</f>
        <v>40</v>
      </c>
      <c r="G24" t="s">
        <v>5</v>
      </c>
    </row>
    <row r="26" spans="1:7" x14ac:dyDescent="0.35">
      <c r="A26" t="s">
        <v>2651</v>
      </c>
      <c r="B26" t="s">
        <v>2652</v>
      </c>
      <c r="C26" t="s">
        <v>2653</v>
      </c>
      <c r="D26" t="s">
        <v>1071</v>
      </c>
      <c r="E26" t="s">
        <v>4</v>
      </c>
      <c r="F26">
        <f>381/54</f>
        <v>7.0555555555555554</v>
      </c>
      <c r="G26" t="s">
        <v>10</v>
      </c>
    </row>
    <row r="28" spans="1:7" x14ac:dyDescent="0.35">
      <c r="A28" t="s">
        <v>2903</v>
      </c>
      <c r="B28" t="s">
        <v>2904</v>
      </c>
      <c r="C28" t="s">
        <v>2905</v>
      </c>
      <c r="D28" t="s">
        <v>2906</v>
      </c>
      <c r="E28" t="s">
        <v>4</v>
      </c>
      <c r="F28">
        <f>880/84</f>
        <v>10.476190476190476</v>
      </c>
      <c r="G28" t="s">
        <v>10</v>
      </c>
    </row>
    <row r="30" spans="1:7" x14ac:dyDescent="0.35">
      <c r="A30" t="s">
        <v>3540</v>
      </c>
      <c r="B30" t="s">
        <v>3541</v>
      </c>
      <c r="C30" t="s">
        <v>3542</v>
      </c>
      <c r="D30" t="s">
        <v>498</v>
      </c>
      <c r="E30" t="s">
        <v>4</v>
      </c>
      <c r="F30">
        <f>1725/8</f>
        <v>215.625</v>
      </c>
      <c r="G30" t="s">
        <v>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962D8-DB2B-4FE3-824D-EEDDCC7EA5BC}">
  <dimension ref="A1:H216"/>
  <sheetViews>
    <sheetView tabSelected="1" topLeftCell="A189" workbookViewId="0">
      <selection activeCell="A218" sqref="A218"/>
    </sheetView>
  </sheetViews>
  <sheetFormatPr defaultRowHeight="14.5" x14ac:dyDescent="0.35"/>
  <sheetData>
    <row r="1" spans="1:7" x14ac:dyDescent="0.35">
      <c r="A1" t="s">
        <v>48</v>
      </c>
      <c r="B1" t="s">
        <v>49</v>
      </c>
      <c r="C1" t="s">
        <v>50</v>
      </c>
      <c r="D1" t="s">
        <v>51</v>
      </c>
      <c r="E1" t="s">
        <v>4</v>
      </c>
      <c r="F1">
        <f>3200/130</f>
        <v>24.615384615384617</v>
      </c>
      <c r="G1" t="s">
        <v>15</v>
      </c>
    </row>
    <row r="3" spans="1:7" x14ac:dyDescent="0.35">
      <c r="A3" t="s">
        <v>61</v>
      </c>
      <c r="B3" t="s">
        <v>62</v>
      </c>
      <c r="C3" t="s">
        <v>8</v>
      </c>
      <c r="D3" t="s">
        <v>63</v>
      </c>
      <c r="E3" t="s">
        <v>4</v>
      </c>
      <c r="F3">
        <f>1668/60</f>
        <v>27.8</v>
      </c>
      <c r="G3" t="s">
        <v>60</v>
      </c>
    </row>
    <row r="5" spans="1:7" x14ac:dyDescent="0.35">
      <c r="A5" s="2" t="s">
        <v>87</v>
      </c>
      <c r="B5" s="2" t="s">
        <v>65</v>
      </c>
      <c r="C5" s="2" t="s">
        <v>88</v>
      </c>
      <c r="D5" s="2" t="s">
        <v>89</v>
      </c>
      <c r="E5" s="2" t="s">
        <v>4</v>
      </c>
      <c r="F5" s="2">
        <f>115/4</f>
        <v>28.75</v>
      </c>
      <c r="G5" s="2" t="s">
        <v>5</v>
      </c>
    </row>
    <row r="6" spans="1:7" x14ac:dyDescent="0.35">
      <c r="A6" s="2"/>
      <c r="B6" s="2"/>
      <c r="C6" s="2"/>
      <c r="D6" s="2"/>
      <c r="E6" s="2"/>
      <c r="F6" s="2"/>
      <c r="G6" s="2"/>
    </row>
    <row r="7" spans="1:7" x14ac:dyDescent="0.35">
      <c r="A7" s="2" t="s">
        <v>90</v>
      </c>
      <c r="B7" s="2" t="s">
        <v>91</v>
      </c>
      <c r="C7" s="2" t="s">
        <v>92</v>
      </c>
      <c r="D7" s="2" t="s">
        <v>93</v>
      </c>
      <c r="E7" s="2" t="s">
        <v>4</v>
      </c>
      <c r="F7" s="2">
        <f>259/4.5</f>
        <v>57.555555555555557</v>
      </c>
      <c r="G7" s="2" t="s">
        <v>5</v>
      </c>
    </row>
    <row r="8" spans="1:7" x14ac:dyDescent="0.35">
      <c r="A8" s="2"/>
      <c r="B8" s="2"/>
      <c r="C8" s="2"/>
      <c r="D8" s="2"/>
      <c r="E8" s="2"/>
      <c r="F8" s="2"/>
      <c r="G8" s="2"/>
    </row>
    <row r="9" spans="1:7" x14ac:dyDescent="0.35">
      <c r="A9" s="2" t="s">
        <v>113</v>
      </c>
      <c r="B9" s="2" t="s">
        <v>114</v>
      </c>
      <c r="C9" s="2" t="s">
        <v>115</v>
      </c>
      <c r="D9" s="2" t="s">
        <v>116</v>
      </c>
      <c r="E9" s="2" t="s">
        <v>4</v>
      </c>
      <c r="F9" s="2">
        <f>60/2.5</f>
        <v>24</v>
      </c>
      <c r="G9" s="2" t="s">
        <v>5</v>
      </c>
    </row>
    <row r="10" spans="1:7" x14ac:dyDescent="0.35">
      <c r="A10" s="2"/>
      <c r="B10" s="2"/>
      <c r="C10" s="2"/>
      <c r="D10" s="2"/>
      <c r="E10" s="2"/>
      <c r="F10" s="2"/>
      <c r="G10" s="2"/>
    </row>
    <row r="11" spans="1:7" x14ac:dyDescent="0.35">
      <c r="A11" s="2" t="s">
        <v>127</v>
      </c>
      <c r="B11" s="2" t="s">
        <v>128</v>
      </c>
      <c r="C11" s="2" t="s">
        <v>129</v>
      </c>
      <c r="D11" s="2" t="s">
        <v>130</v>
      </c>
      <c r="E11" s="2" t="s">
        <v>4</v>
      </c>
      <c r="F11" s="2">
        <f>5800/100</f>
        <v>58</v>
      </c>
      <c r="G11" s="2" t="s">
        <v>5</v>
      </c>
    </row>
    <row r="13" spans="1:7" x14ac:dyDescent="0.35">
      <c r="A13" t="s">
        <v>135</v>
      </c>
      <c r="B13" t="s">
        <v>136</v>
      </c>
      <c r="C13" t="s">
        <v>137</v>
      </c>
      <c r="D13" t="s">
        <v>9</v>
      </c>
      <c r="E13" t="s">
        <v>4</v>
      </c>
      <c r="F13">
        <f>733/65</f>
        <v>11.276923076923078</v>
      </c>
      <c r="G13" t="s">
        <v>10</v>
      </c>
    </row>
    <row r="15" spans="1:7" x14ac:dyDescent="0.35">
      <c r="A15" t="s">
        <v>138</v>
      </c>
      <c r="B15" t="s">
        <v>139</v>
      </c>
      <c r="C15" t="s">
        <v>140</v>
      </c>
      <c r="D15" t="s">
        <v>141</v>
      </c>
      <c r="E15" t="s">
        <v>4</v>
      </c>
      <c r="F15">
        <f>1600/68</f>
        <v>23.529411764705884</v>
      </c>
      <c r="G15" t="s">
        <v>15</v>
      </c>
    </row>
    <row r="17" spans="1:8" x14ac:dyDescent="0.35">
      <c r="A17" s="2" t="s">
        <v>233</v>
      </c>
      <c r="B17" s="2" t="s">
        <v>234</v>
      </c>
      <c r="C17" s="2" t="s">
        <v>235</v>
      </c>
      <c r="D17" s="2" t="s">
        <v>236</v>
      </c>
      <c r="E17" s="2" t="s">
        <v>4</v>
      </c>
      <c r="F17" s="2">
        <f>4240/120</f>
        <v>35.333333333333336</v>
      </c>
      <c r="G17" s="2" t="s">
        <v>5</v>
      </c>
      <c r="H17" s="2"/>
    </row>
    <row r="19" spans="1:8" x14ac:dyDescent="0.35">
      <c r="A19" s="1" t="s">
        <v>277</v>
      </c>
      <c r="B19" s="1" t="s">
        <v>278</v>
      </c>
      <c r="C19" s="1" t="s">
        <v>279</v>
      </c>
      <c r="D19" s="1" t="s">
        <v>280</v>
      </c>
      <c r="E19" s="1" t="s">
        <v>4</v>
      </c>
      <c r="F19" s="1">
        <f>300/20</f>
        <v>15</v>
      </c>
      <c r="G19" s="1" t="s">
        <v>10</v>
      </c>
    </row>
    <row r="21" spans="1:8" x14ac:dyDescent="0.35">
      <c r="A21" t="s">
        <v>310</v>
      </c>
      <c r="B21" t="s">
        <v>311</v>
      </c>
      <c r="C21" t="s">
        <v>312</v>
      </c>
      <c r="D21" t="s">
        <v>313</v>
      </c>
      <c r="E21" t="s">
        <v>4</v>
      </c>
      <c r="F21">
        <f>267/12.3</f>
        <v>21.707317073170731</v>
      </c>
      <c r="G21" t="s">
        <v>15</v>
      </c>
    </row>
    <row r="23" spans="1:8" x14ac:dyDescent="0.35">
      <c r="A23" s="2" t="s">
        <v>318</v>
      </c>
      <c r="B23" s="2" t="s">
        <v>319</v>
      </c>
      <c r="C23" s="2" t="s">
        <v>320</v>
      </c>
      <c r="D23" s="2" t="s">
        <v>321</v>
      </c>
      <c r="E23" s="2" t="s">
        <v>4</v>
      </c>
      <c r="F23" s="2">
        <f>1670/53</f>
        <v>31.509433962264151</v>
      </c>
      <c r="G23" s="2" t="s">
        <v>5</v>
      </c>
    </row>
    <row r="24" spans="1:8" x14ac:dyDescent="0.35">
      <c r="A24" s="2"/>
      <c r="B24" s="2"/>
      <c r="C24" s="2"/>
      <c r="D24" s="2"/>
      <c r="E24" s="2"/>
      <c r="F24" s="2"/>
      <c r="G24" s="2"/>
    </row>
    <row r="25" spans="1:8" x14ac:dyDescent="0.35">
      <c r="A25" s="2" t="s">
        <v>326</v>
      </c>
      <c r="B25" s="2" t="s">
        <v>327</v>
      </c>
      <c r="C25" s="2" t="s">
        <v>328</v>
      </c>
      <c r="D25" s="2" t="s">
        <v>59</v>
      </c>
      <c r="E25" s="2" t="s">
        <v>4</v>
      </c>
      <c r="F25" s="2">
        <f>650/13</f>
        <v>50</v>
      </c>
      <c r="G25" s="2" t="s">
        <v>5</v>
      </c>
    </row>
    <row r="27" spans="1:8" x14ac:dyDescent="0.35">
      <c r="A27" t="s">
        <v>456</v>
      </c>
      <c r="B27" t="s">
        <v>457</v>
      </c>
      <c r="C27" t="s">
        <v>458</v>
      </c>
      <c r="D27" t="s">
        <v>459</v>
      </c>
      <c r="E27" t="s">
        <v>4</v>
      </c>
      <c r="F27">
        <f>6400/170</f>
        <v>37.647058823529413</v>
      </c>
      <c r="G27" t="s">
        <v>5</v>
      </c>
    </row>
    <row r="29" spans="1:8" x14ac:dyDescent="0.35">
      <c r="A29" t="s">
        <v>485</v>
      </c>
      <c r="B29" t="s">
        <v>486</v>
      </c>
      <c r="C29" t="s">
        <v>487</v>
      </c>
      <c r="D29" t="s">
        <v>352</v>
      </c>
      <c r="E29" t="s">
        <v>4</v>
      </c>
      <c r="F29">
        <f>222/18</f>
        <v>12.333333333333334</v>
      </c>
      <c r="G29" t="s">
        <v>10</v>
      </c>
    </row>
    <row r="31" spans="1:8" x14ac:dyDescent="0.35">
      <c r="A31" t="s">
        <v>500</v>
      </c>
      <c r="B31" t="s">
        <v>501</v>
      </c>
      <c r="C31" t="s">
        <v>521</v>
      </c>
      <c r="D31" t="s">
        <v>502</v>
      </c>
      <c r="E31" t="s">
        <v>4</v>
      </c>
      <c r="F31">
        <f>6345/115</f>
        <v>55.173913043478258</v>
      </c>
      <c r="G31" t="s">
        <v>5</v>
      </c>
    </row>
    <row r="33" spans="1:7" x14ac:dyDescent="0.35">
      <c r="A33" t="s">
        <v>503</v>
      </c>
      <c r="B33" t="s">
        <v>504</v>
      </c>
      <c r="C33" t="s">
        <v>520</v>
      </c>
      <c r="D33" t="s">
        <v>505</v>
      </c>
      <c r="E33" t="s">
        <v>4</v>
      </c>
      <c r="F33">
        <f>2130/105</f>
        <v>20.285714285714285</v>
      </c>
      <c r="G33" t="s">
        <v>5</v>
      </c>
    </row>
    <row r="35" spans="1:7" x14ac:dyDescent="0.35">
      <c r="A35" t="s">
        <v>518</v>
      </c>
      <c r="B35" t="s">
        <v>519</v>
      </c>
      <c r="C35" t="s">
        <v>522</v>
      </c>
      <c r="D35" t="s">
        <v>280</v>
      </c>
      <c r="E35" t="s">
        <v>4</v>
      </c>
      <c r="F35">
        <f>630/20</f>
        <v>31.5</v>
      </c>
      <c r="G35" t="s">
        <v>5</v>
      </c>
    </row>
    <row r="37" spans="1:7" x14ac:dyDescent="0.35">
      <c r="A37" t="s">
        <v>526</v>
      </c>
      <c r="B37" t="s">
        <v>527</v>
      </c>
      <c r="C37" t="s">
        <v>528</v>
      </c>
      <c r="D37" t="s">
        <v>366</v>
      </c>
      <c r="E37" t="s">
        <v>4</v>
      </c>
      <c r="F37">
        <f>285/14</f>
        <v>20.357142857142858</v>
      </c>
      <c r="G37" t="s">
        <v>10</v>
      </c>
    </row>
    <row r="39" spans="1:7" x14ac:dyDescent="0.35">
      <c r="A39" t="s">
        <v>574</v>
      </c>
      <c r="B39" t="s">
        <v>575</v>
      </c>
      <c r="C39" t="s">
        <v>576</v>
      </c>
      <c r="D39" t="s">
        <v>577</v>
      </c>
      <c r="E39" t="s">
        <v>4</v>
      </c>
      <c r="F39">
        <f>2200/131</f>
        <v>16.793893129770993</v>
      </c>
      <c r="G39" t="s">
        <v>10</v>
      </c>
    </row>
    <row r="41" spans="1:7" x14ac:dyDescent="0.35">
      <c r="A41" t="s">
        <v>689</v>
      </c>
      <c r="B41" t="s">
        <v>690</v>
      </c>
      <c r="C41" t="s">
        <v>691</v>
      </c>
      <c r="D41" t="s">
        <v>692</v>
      </c>
      <c r="E41" t="s">
        <v>4</v>
      </c>
      <c r="F41">
        <f>7674/280</f>
        <v>27.407142857142858</v>
      </c>
      <c r="G41" t="s">
        <v>5</v>
      </c>
    </row>
    <row r="43" spans="1:7" x14ac:dyDescent="0.35">
      <c r="A43" t="s">
        <v>709</v>
      </c>
      <c r="B43" t="s">
        <v>710</v>
      </c>
      <c r="C43" t="s">
        <v>711</v>
      </c>
      <c r="D43" t="s">
        <v>498</v>
      </c>
      <c r="E43" t="s">
        <v>4</v>
      </c>
      <c r="F43">
        <f>136/8</f>
        <v>17</v>
      </c>
      <c r="G43" t="s">
        <v>10</v>
      </c>
    </row>
    <row r="45" spans="1:7" x14ac:dyDescent="0.35">
      <c r="A45" t="s">
        <v>757</v>
      </c>
      <c r="B45" t="s">
        <v>758</v>
      </c>
      <c r="C45" t="s">
        <v>520</v>
      </c>
      <c r="D45" t="s">
        <v>759</v>
      </c>
      <c r="E45" t="s">
        <v>4</v>
      </c>
      <c r="F45">
        <f>2826/94</f>
        <v>30.063829787234042</v>
      </c>
      <c r="G45" t="s">
        <v>5</v>
      </c>
    </row>
    <row r="47" spans="1:7" x14ac:dyDescent="0.35">
      <c r="A47" t="s">
        <v>763</v>
      </c>
      <c r="B47" t="s">
        <v>764</v>
      </c>
      <c r="C47" t="s">
        <v>765</v>
      </c>
      <c r="D47" t="s">
        <v>265</v>
      </c>
      <c r="E47" t="s">
        <v>4</v>
      </c>
      <c r="F47">
        <f>1141/45</f>
        <v>25.355555555555554</v>
      </c>
      <c r="G47" t="s">
        <v>5</v>
      </c>
    </row>
    <row r="49" spans="1:7" x14ac:dyDescent="0.35">
      <c r="A49" t="s">
        <v>804</v>
      </c>
      <c r="B49" t="s">
        <v>805</v>
      </c>
      <c r="C49" t="s">
        <v>806</v>
      </c>
      <c r="D49" t="s">
        <v>419</v>
      </c>
      <c r="E49" t="s">
        <v>4</v>
      </c>
      <c r="F49">
        <f>448/37</f>
        <v>12.108108108108109</v>
      </c>
      <c r="G49" t="s">
        <v>10</v>
      </c>
    </row>
    <row r="51" spans="1:7" x14ac:dyDescent="0.35">
      <c r="A51" t="s">
        <v>816</v>
      </c>
      <c r="B51" t="s">
        <v>817</v>
      </c>
      <c r="C51" t="s">
        <v>818</v>
      </c>
      <c r="D51" t="s">
        <v>819</v>
      </c>
      <c r="E51" t="s">
        <v>4</v>
      </c>
      <c r="F51">
        <f>722/29</f>
        <v>24.896551724137932</v>
      </c>
      <c r="G51" t="s">
        <v>10</v>
      </c>
    </row>
    <row r="53" spans="1:7" x14ac:dyDescent="0.35">
      <c r="A53" t="s">
        <v>821</v>
      </c>
      <c r="B53" t="s">
        <v>822</v>
      </c>
      <c r="C53" t="s">
        <v>823</v>
      </c>
      <c r="D53" t="s">
        <v>824</v>
      </c>
      <c r="E53" t="s">
        <v>4</v>
      </c>
      <c r="F53">
        <f>1664/110</f>
        <v>15.127272727272727</v>
      </c>
      <c r="G53" t="s">
        <v>10</v>
      </c>
    </row>
    <row r="55" spans="1:7" x14ac:dyDescent="0.35">
      <c r="A55" t="s">
        <v>825</v>
      </c>
      <c r="B55" t="s">
        <v>774</v>
      </c>
      <c r="C55" t="s">
        <v>826</v>
      </c>
      <c r="D55" t="s">
        <v>827</v>
      </c>
      <c r="E55" t="s">
        <v>4</v>
      </c>
      <c r="F55">
        <f>1688/33</f>
        <v>51.151515151515149</v>
      </c>
      <c r="G55" t="s">
        <v>5</v>
      </c>
    </row>
    <row r="57" spans="1:7" x14ac:dyDescent="0.35">
      <c r="A57" t="s">
        <v>828</v>
      </c>
      <c r="B57" t="s">
        <v>829</v>
      </c>
      <c r="C57" t="s">
        <v>830</v>
      </c>
      <c r="D57" t="s">
        <v>494</v>
      </c>
      <c r="E57" t="s">
        <v>4</v>
      </c>
      <c r="F57">
        <f>895/34</f>
        <v>26.323529411764707</v>
      </c>
      <c r="G57" t="s">
        <v>5</v>
      </c>
    </row>
    <row r="59" spans="1:7" x14ac:dyDescent="0.35">
      <c r="A59" t="s">
        <v>856</v>
      </c>
      <c r="B59" t="s">
        <v>29</v>
      </c>
    </row>
    <row r="61" spans="1:7" x14ac:dyDescent="0.35">
      <c r="A61" t="s">
        <v>1051</v>
      </c>
      <c r="B61" t="s">
        <v>1052</v>
      </c>
      <c r="C61" t="s">
        <v>1053</v>
      </c>
      <c r="D61" t="s">
        <v>39</v>
      </c>
      <c r="E61" t="s">
        <v>4</v>
      </c>
      <c r="F61">
        <f>812/49</f>
        <v>16.571428571428573</v>
      </c>
      <c r="G61" t="s">
        <v>10</v>
      </c>
    </row>
    <row r="63" spans="1:7" x14ac:dyDescent="0.35">
      <c r="A63" t="s">
        <v>1096</v>
      </c>
      <c r="B63" t="s">
        <v>1097</v>
      </c>
      <c r="C63" t="s">
        <v>1098</v>
      </c>
      <c r="D63" t="s">
        <v>309</v>
      </c>
      <c r="E63" t="s">
        <v>4</v>
      </c>
      <c r="F63">
        <f>381/17</f>
        <v>22.411764705882351</v>
      </c>
      <c r="G63" t="s">
        <v>5</v>
      </c>
    </row>
    <row r="65" spans="1:7" x14ac:dyDescent="0.35">
      <c r="A65" t="s">
        <v>1160</v>
      </c>
      <c r="B65" t="s">
        <v>1161</v>
      </c>
      <c r="C65" t="s">
        <v>1162</v>
      </c>
      <c r="D65" t="s">
        <v>1163</v>
      </c>
      <c r="E65" t="s">
        <v>4</v>
      </c>
      <c r="F65">
        <f>403/16.9</f>
        <v>23.846153846153847</v>
      </c>
      <c r="G65" t="s">
        <v>5</v>
      </c>
    </row>
    <row r="67" spans="1:7" x14ac:dyDescent="0.35">
      <c r="A67" t="s">
        <v>1229</v>
      </c>
      <c r="B67" t="s">
        <v>1230</v>
      </c>
      <c r="C67" t="s">
        <v>1231</v>
      </c>
      <c r="D67" t="s">
        <v>815</v>
      </c>
      <c r="E67" t="s">
        <v>4</v>
      </c>
      <c r="F67">
        <f>690/32</f>
        <v>21.5625</v>
      </c>
      <c r="G67" t="s">
        <v>5</v>
      </c>
    </row>
    <row r="69" spans="1:7" x14ac:dyDescent="0.35">
      <c r="A69" t="s">
        <v>1256</v>
      </c>
      <c r="B69" t="s">
        <v>1257</v>
      </c>
      <c r="C69" t="s">
        <v>1258</v>
      </c>
      <c r="D69" t="s">
        <v>31</v>
      </c>
    </row>
    <row r="71" spans="1:7" x14ac:dyDescent="0.35">
      <c r="A71" t="s">
        <v>1273</v>
      </c>
      <c r="B71" t="s">
        <v>1274</v>
      </c>
      <c r="C71" t="s">
        <v>1275</v>
      </c>
      <c r="D71" t="s">
        <v>1276</v>
      </c>
      <c r="E71" t="s">
        <v>4</v>
      </c>
      <c r="F71">
        <f>4650/150</f>
        <v>31</v>
      </c>
      <c r="G71" t="s">
        <v>5</v>
      </c>
    </row>
    <row r="73" spans="1:7" x14ac:dyDescent="0.35">
      <c r="A73" t="s">
        <v>1401</v>
      </c>
      <c r="B73" t="s">
        <v>1402</v>
      </c>
      <c r="C73" t="s">
        <v>22</v>
      </c>
      <c r="D73" t="s">
        <v>164</v>
      </c>
      <c r="E73" t="s">
        <v>4</v>
      </c>
      <c r="F73">
        <f>491/25</f>
        <v>19.64</v>
      </c>
      <c r="G73" t="s">
        <v>5</v>
      </c>
    </row>
    <row r="75" spans="1:7" x14ac:dyDescent="0.35">
      <c r="A75" t="s">
        <v>1409</v>
      </c>
      <c r="B75" t="s">
        <v>1410</v>
      </c>
      <c r="C75" t="s">
        <v>1411</v>
      </c>
      <c r="D75" t="s">
        <v>467</v>
      </c>
      <c r="E75" t="s">
        <v>4</v>
      </c>
      <c r="F75">
        <f>1050/23</f>
        <v>45.652173913043477</v>
      </c>
      <c r="G75" t="s">
        <v>5</v>
      </c>
    </row>
    <row r="77" spans="1:7" x14ac:dyDescent="0.35">
      <c r="A77" t="s">
        <v>1475</v>
      </c>
      <c r="B77" t="s">
        <v>1476</v>
      </c>
      <c r="C77" t="s">
        <v>1158</v>
      </c>
      <c r="D77" t="s">
        <v>626</v>
      </c>
      <c r="E77" t="s">
        <v>4</v>
      </c>
      <c r="F77">
        <f>1320/39</f>
        <v>33.846153846153847</v>
      </c>
      <c r="G77" t="s">
        <v>5</v>
      </c>
    </row>
    <row r="79" spans="1:7" x14ac:dyDescent="0.35">
      <c r="A79" t="s">
        <v>1491</v>
      </c>
      <c r="B79" t="s">
        <v>29</v>
      </c>
      <c r="C79" t="s">
        <v>30</v>
      </c>
    </row>
    <row r="81" spans="1:7" x14ac:dyDescent="0.35">
      <c r="A81" t="s">
        <v>1534</v>
      </c>
      <c r="B81" t="s">
        <v>1535</v>
      </c>
      <c r="C81" t="s">
        <v>1536</v>
      </c>
      <c r="D81" t="s">
        <v>762</v>
      </c>
      <c r="E81" t="s">
        <v>4</v>
      </c>
      <c r="F81">
        <f>194/1.6</f>
        <v>121.25</v>
      </c>
      <c r="G81" t="s">
        <v>5</v>
      </c>
    </row>
    <row r="83" spans="1:7" x14ac:dyDescent="0.35">
      <c r="A83" t="s">
        <v>1539</v>
      </c>
      <c r="B83" t="s">
        <v>1540</v>
      </c>
      <c r="C83" t="s">
        <v>1355</v>
      </c>
      <c r="D83" t="s">
        <v>178</v>
      </c>
      <c r="E83" t="s">
        <v>4</v>
      </c>
      <c r="F83">
        <f>250/15</f>
        <v>16.666666666666668</v>
      </c>
      <c r="G83" t="s">
        <v>10</v>
      </c>
    </row>
    <row r="85" spans="1:7" x14ac:dyDescent="0.35">
      <c r="A85" t="s">
        <v>1592</v>
      </c>
      <c r="B85" t="s">
        <v>368</v>
      </c>
      <c r="C85" t="s">
        <v>1593</v>
      </c>
      <c r="D85" t="s">
        <v>1594</v>
      </c>
      <c r="E85" t="s">
        <v>4</v>
      </c>
      <c r="F85">
        <f>75/1.1</f>
        <v>68.181818181818173</v>
      </c>
      <c r="G85" t="s">
        <v>5</v>
      </c>
    </row>
    <row r="87" spans="1:7" x14ac:dyDescent="0.35">
      <c r="A87" t="s">
        <v>1610</v>
      </c>
      <c r="B87" t="s">
        <v>142</v>
      </c>
      <c r="C87" t="s">
        <v>1611</v>
      </c>
      <c r="D87" t="s">
        <v>280</v>
      </c>
      <c r="E87" t="s">
        <v>4</v>
      </c>
      <c r="F87">
        <f>143/20</f>
        <v>7.15</v>
      </c>
      <c r="G87" t="s">
        <v>10</v>
      </c>
    </row>
    <row r="89" spans="1:7" x14ac:dyDescent="0.35">
      <c r="A89" t="s">
        <v>1643</v>
      </c>
      <c r="B89" t="s">
        <v>29</v>
      </c>
      <c r="C89" t="s">
        <v>30</v>
      </c>
    </row>
    <row r="91" spans="1:7" x14ac:dyDescent="0.35">
      <c r="A91" t="s">
        <v>1693</v>
      </c>
      <c r="B91" t="s">
        <v>1694</v>
      </c>
      <c r="C91" t="s">
        <v>1695</v>
      </c>
      <c r="D91" t="s">
        <v>463</v>
      </c>
      <c r="E91" t="s">
        <v>4</v>
      </c>
      <c r="F91">
        <f>914/24</f>
        <v>38.083333333333336</v>
      </c>
      <c r="G91" t="s">
        <v>5</v>
      </c>
    </row>
    <row r="93" spans="1:7" x14ac:dyDescent="0.35">
      <c r="A93" t="s">
        <v>1841</v>
      </c>
      <c r="B93" t="s">
        <v>1842</v>
      </c>
      <c r="C93" t="s">
        <v>1843</v>
      </c>
      <c r="D93" t="s">
        <v>827</v>
      </c>
      <c r="E93" t="s">
        <v>4</v>
      </c>
      <c r="F93">
        <f>1547/33</f>
        <v>46.878787878787875</v>
      </c>
      <c r="G93" t="s">
        <v>5</v>
      </c>
    </row>
    <row r="95" spans="1:7" x14ac:dyDescent="0.35">
      <c r="A95" t="s">
        <v>1847</v>
      </c>
      <c r="B95" t="s">
        <v>1848</v>
      </c>
      <c r="C95" t="s">
        <v>1849</v>
      </c>
      <c r="D95" t="s">
        <v>294</v>
      </c>
      <c r="E95" t="s">
        <v>4</v>
      </c>
      <c r="F95">
        <f>2980/42</f>
        <v>70.952380952380949</v>
      </c>
      <c r="G95" t="s">
        <v>5</v>
      </c>
    </row>
    <row r="97" spans="1:7" x14ac:dyDescent="0.35">
      <c r="A97" t="s">
        <v>1873</v>
      </c>
      <c r="B97" t="s">
        <v>883</v>
      </c>
      <c r="C97" t="s">
        <v>195</v>
      </c>
      <c r="D97" t="s">
        <v>79</v>
      </c>
      <c r="E97" t="s">
        <v>4</v>
      </c>
      <c r="F97">
        <f>457/10</f>
        <v>45.7</v>
      </c>
      <c r="G97" t="s">
        <v>5</v>
      </c>
    </row>
    <row r="99" spans="1:7" x14ac:dyDescent="0.35">
      <c r="A99" t="s">
        <v>1876</v>
      </c>
      <c r="B99" t="s">
        <v>1877</v>
      </c>
      <c r="C99" t="s">
        <v>1878</v>
      </c>
      <c r="D99" t="s">
        <v>79</v>
      </c>
      <c r="E99" t="s">
        <v>4</v>
      </c>
      <c r="F99">
        <f>162/10</f>
        <v>16.2</v>
      </c>
      <c r="G99" t="s">
        <v>10</v>
      </c>
    </row>
    <row r="101" spans="1:7" x14ac:dyDescent="0.35">
      <c r="A101" t="s">
        <v>1881</v>
      </c>
      <c r="B101" t="s">
        <v>1631</v>
      </c>
      <c r="C101" t="s">
        <v>1882</v>
      </c>
      <c r="D101" t="s">
        <v>153</v>
      </c>
      <c r="E101" t="s">
        <v>4</v>
      </c>
      <c r="F101">
        <f>1515/26</f>
        <v>58.269230769230766</v>
      </c>
      <c r="G101" t="s">
        <v>5</v>
      </c>
    </row>
    <row r="102" spans="1:7" x14ac:dyDescent="0.35">
      <c r="D102" t="s">
        <v>1883</v>
      </c>
      <c r="F102">
        <f>1515/40</f>
        <v>37.875</v>
      </c>
      <c r="G102" t="s">
        <v>5</v>
      </c>
    </row>
    <row r="104" spans="1:7" x14ac:dyDescent="0.35">
      <c r="A104" t="s">
        <v>1908</v>
      </c>
      <c r="B104" t="s">
        <v>1909</v>
      </c>
      <c r="C104" t="s">
        <v>1910</v>
      </c>
      <c r="D104" t="s">
        <v>606</v>
      </c>
      <c r="E104" t="s">
        <v>4</v>
      </c>
      <c r="F104">
        <f>1900/101</f>
        <v>18.811881188118811</v>
      </c>
      <c r="G104" t="s">
        <v>5</v>
      </c>
    </row>
    <row r="106" spans="1:7" x14ac:dyDescent="0.35">
      <c r="A106" t="s">
        <v>1957</v>
      </c>
      <c r="B106" t="s">
        <v>1958</v>
      </c>
      <c r="C106" t="s">
        <v>484</v>
      </c>
      <c r="D106" t="s">
        <v>59</v>
      </c>
      <c r="E106" t="s">
        <v>4</v>
      </c>
      <c r="F106">
        <f>525/13</f>
        <v>40.384615384615387</v>
      </c>
      <c r="G106" t="s">
        <v>5</v>
      </c>
    </row>
    <row r="108" spans="1:7" x14ac:dyDescent="0.35">
      <c r="A108" t="s">
        <v>2018</v>
      </c>
      <c r="B108" t="s">
        <v>2019</v>
      </c>
      <c r="C108" t="s">
        <v>2020</v>
      </c>
      <c r="D108" t="s">
        <v>2021</v>
      </c>
      <c r="E108" t="s">
        <v>4</v>
      </c>
      <c r="F108">
        <f>310/8.7</f>
        <v>35.632183908045981</v>
      </c>
      <c r="G108" t="s">
        <v>5</v>
      </c>
    </row>
    <row r="110" spans="1:7" x14ac:dyDescent="0.35">
      <c r="A110" t="s">
        <v>2022</v>
      </c>
      <c r="B110" t="s">
        <v>2023</v>
      </c>
      <c r="C110" t="s">
        <v>2024</v>
      </c>
      <c r="D110" t="s">
        <v>2025</v>
      </c>
      <c r="E110" t="s">
        <v>4</v>
      </c>
      <c r="F110">
        <f>895/66</f>
        <v>13.560606060606061</v>
      </c>
      <c r="G110" t="s">
        <v>10</v>
      </c>
    </row>
    <row r="112" spans="1:7" x14ac:dyDescent="0.35">
      <c r="A112" t="s">
        <v>2097</v>
      </c>
      <c r="B112" t="s">
        <v>2098</v>
      </c>
      <c r="C112" t="s">
        <v>1056</v>
      </c>
      <c r="D112" t="s">
        <v>613</v>
      </c>
      <c r="E112" t="s">
        <v>4</v>
      </c>
      <c r="F112">
        <f>365/40</f>
        <v>9.125</v>
      </c>
      <c r="G112" t="s">
        <v>10</v>
      </c>
    </row>
    <row r="114" spans="1:7" x14ac:dyDescent="0.35">
      <c r="A114" t="s">
        <v>2196</v>
      </c>
      <c r="B114" t="s">
        <v>2197</v>
      </c>
      <c r="C114" t="s">
        <v>1260</v>
      </c>
      <c r="D114" t="s">
        <v>654</v>
      </c>
      <c r="E114" t="s">
        <v>4</v>
      </c>
      <c r="F114">
        <f>1500/77</f>
        <v>19.480519480519479</v>
      </c>
      <c r="G114" t="s">
        <v>10</v>
      </c>
    </row>
    <row r="116" spans="1:7" x14ac:dyDescent="0.35">
      <c r="A116" t="s">
        <v>2247</v>
      </c>
      <c r="B116" t="s">
        <v>2248</v>
      </c>
      <c r="C116" t="s">
        <v>225</v>
      </c>
      <c r="D116" t="s">
        <v>2249</v>
      </c>
      <c r="E116" t="s">
        <v>4</v>
      </c>
      <c r="F116">
        <f>17/1.3</f>
        <v>13.076923076923077</v>
      </c>
      <c r="G116" t="s">
        <v>10</v>
      </c>
    </row>
    <row r="118" spans="1:7" x14ac:dyDescent="0.35">
      <c r="A118" t="s">
        <v>2258</v>
      </c>
      <c r="B118" t="s">
        <v>2259</v>
      </c>
      <c r="C118" t="s">
        <v>1147</v>
      </c>
      <c r="D118" t="s">
        <v>705</v>
      </c>
      <c r="E118" t="s">
        <v>4</v>
      </c>
      <c r="F118">
        <f>283/19.5</f>
        <v>14.512820512820513</v>
      </c>
      <c r="G118" t="s">
        <v>10</v>
      </c>
    </row>
    <row r="120" spans="1:7" x14ac:dyDescent="0.35">
      <c r="A120" t="s">
        <v>2278</v>
      </c>
      <c r="B120" t="s">
        <v>2279</v>
      </c>
      <c r="C120" t="s">
        <v>2280</v>
      </c>
      <c r="D120" t="s">
        <v>1059</v>
      </c>
      <c r="E120" t="s">
        <v>4</v>
      </c>
      <c r="F120">
        <f>251/17.5</f>
        <v>14.342857142857143</v>
      </c>
      <c r="G120" t="s">
        <v>10</v>
      </c>
    </row>
    <row r="122" spans="1:7" x14ac:dyDescent="0.35">
      <c r="A122" t="s">
        <v>2304</v>
      </c>
      <c r="B122" t="s">
        <v>1830</v>
      </c>
      <c r="C122" t="s">
        <v>2305</v>
      </c>
      <c r="D122" t="s">
        <v>79</v>
      </c>
      <c r="E122" t="s">
        <v>4</v>
      </c>
      <c r="F122">
        <f>133/10</f>
        <v>13.3</v>
      </c>
      <c r="G122" t="s">
        <v>10</v>
      </c>
    </row>
    <row r="124" spans="1:7" x14ac:dyDescent="0.35">
      <c r="A124" t="s">
        <v>2307</v>
      </c>
      <c r="B124" t="s">
        <v>1662</v>
      </c>
      <c r="C124" t="s">
        <v>2028</v>
      </c>
      <c r="D124" t="s">
        <v>876</v>
      </c>
      <c r="E124" t="s">
        <v>4</v>
      </c>
      <c r="F124">
        <f>690/22.5</f>
        <v>30.666666666666668</v>
      </c>
      <c r="G124" t="s">
        <v>5</v>
      </c>
    </row>
    <row r="126" spans="1:7" x14ac:dyDescent="0.35">
      <c r="A126" t="s">
        <v>2362</v>
      </c>
      <c r="B126" t="s">
        <v>2363</v>
      </c>
      <c r="C126" t="s">
        <v>2364</v>
      </c>
      <c r="D126" t="s">
        <v>1245</v>
      </c>
      <c r="E126" t="s">
        <v>4</v>
      </c>
      <c r="F126">
        <f>950/38</f>
        <v>25</v>
      </c>
      <c r="G126" t="s">
        <v>10</v>
      </c>
    </row>
    <row r="128" spans="1:7" x14ac:dyDescent="0.35">
      <c r="A128" t="s">
        <v>2408</v>
      </c>
      <c r="B128" t="s">
        <v>2409</v>
      </c>
      <c r="C128" t="s">
        <v>2410</v>
      </c>
      <c r="D128" t="s">
        <v>188</v>
      </c>
      <c r="E128" t="s">
        <v>4</v>
      </c>
      <c r="F128">
        <f>600/3.5</f>
        <v>171.42857142857142</v>
      </c>
      <c r="G128" t="s">
        <v>5</v>
      </c>
    </row>
    <row r="129" spans="1:7" x14ac:dyDescent="0.35">
      <c r="D129" t="s">
        <v>2411</v>
      </c>
      <c r="F129">
        <f>600/7</f>
        <v>85.714285714285708</v>
      </c>
      <c r="G129" t="s">
        <v>5</v>
      </c>
    </row>
    <row r="131" spans="1:7" x14ac:dyDescent="0.35">
      <c r="A131" t="s">
        <v>2419</v>
      </c>
      <c r="B131" t="s">
        <v>944</v>
      </c>
      <c r="C131" t="s">
        <v>2420</v>
      </c>
      <c r="D131" t="s">
        <v>366</v>
      </c>
      <c r="E131" t="s">
        <v>4</v>
      </c>
      <c r="F131">
        <f>198/14</f>
        <v>14.142857142857142</v>
      </c>
      <c r="G131" t="s">
        <v>5</v>
      </c>
    </row>
    <row r="133" spans="1:7" x14ac:dyDescent="0.35">
      <c r="A133" t="s">
        <v>2429</v>
      </c>
      <c r="B133" t="s">
        <v>2430</v>
      </c>
      <c r="C133" t="s">
        <v>1300</v>
      </c>
      <c r="D133" t="s">
        <v>134</v>
      </c>
      <c r="E133" t="s">
        <v>4</v>
      </c>
      <c r="F133">
        <f>97/12</f>
        <v>8.0833333333333339</v>
      </c>
      <c r="G133" t="s">
        <v>10</v>
      </c>
    </row>
    <row r="135" spans="1:7" x14ac:dyDescent="0.35">
      <c r="A135" t="s">
        <v>2461</v>
      </c>
      <c r="B135" t="s">
        <v>2070</v>
      </c>
      <c r="C135" t="s">
        <v>1925</v>
      </c>
      <c r="D135" t="s">
        <v>19</v>
      </c>
      <c r="E135" t="s">
        <v>4</v>
      </c>
      <c r="F135">
        <f>218/9</f>
        <v>24.222222222222221</v>
      </c>
      <c r="G135" t="s">
        <v>5</v>
      </c>
    </row>
    <row r="137" spans="1:7" x14ac:dyDescent="0.35">
      <c r="A137" t="s">
        <v>2481</v>
      </c>
      <c r="B137" t="s">
        <v>1540</v>
      </c>
      <c r="C137" t="s">
        <v>2482</v>
      </c>
      <c r="D137" t="s">
        <v>1062</v>
      </c>
      <c r="E137" t="s">
        <v>4</v>
      </c>
      <c r="F137">
        <f>292/16.5</f>
        <v>17.696969696969695</v>
      </c>
      <c r="G137" t="s">
        <v>10</v>
      </c>
    </row>
    <row r="139" spans="1:7" x14ac:dyDescent="0.35">
      <c r="A139" t="s">
        <v>2500</v>
      </c>
      <c r="B139" t="s">
        <v>2501</v>
      </c>
      <c r="C139" t="s">
        <v>1886</v>
      </c>
      <c r="D139" t="s">
        <v>2502</v>
      </c>
      <c r="E139" t="s">
        <v>4</v>
      </c>
      <c r="F139">
        <f>300/15.9</f>
        <v>18.867924528301888</v>
      </c>
      <c r="G139" t="s">
        <v>10</v>
      </c>
    </row>
    <row r="141" spans="1:7" x14ac:dyDescent="0.35">
      <c r="A141" t="s">
        <v>2513</v>
      </c>
      <c r="B141" t="s">
        <v>65</v>
      </c>
      <c r="C141" t="s">
        <v>2514</v>
      </c>
      <c r="D141" t="s">
        <v>2191</v>
      </c>
      <c r="E141" t="s">
        <v>4</v>
      </c>
      <c r="F141">
        <f>74/3.7</f>
        <v>20</v>
      </c>
      <c r="G141" t="s">
        <v>5</v>
      </c>
    </row>
    <row r="143" spans="1:7" x14ac:dyDescent="0.35">
      <c r="A143" t="s">
        <v>2559</v>
      </c>
      <c r="B143" t="s">
        <v>2560</v>
      </c>
      <c r="C143" t="s">
        <v>2561</v>
      </c>
      <c r="D143" t="s">
        <v>463</v>
      </c>
      <c r="E143" t="s">
        <v>4</v>
      </c>
      <c r="F143">
        <f>1250/24</f>
        <v>52.083333333333336</v>
      </c>
      <c r="G143" t="s">
        <v>5</v>
      </c>
    </row>
    <row r="145" spans="1:7" x14ac:dyDescent="0.35">
      <c r="A145" t="s">
        <v>2854</v>
      </c>
      <c r="B145" t="s">
        <v>289</v>
      </c>
      <c r="C145" t="s">
        <v>2203</v>
      </c>
      <c r="D145" t="s">
        <v>35</v>
      </c>
      <c r="E145" t="s">
        <v>4</v>
      </c>
      <c r="F145">
        <f>168/6</f>
        <v>28</v>
      </c>
      <c r="G145" t="s">
        <v>5</v>
      </c>
    </row>
    <row r="147" spans="1:7" x14ac:dyDescent="0.35">
      <c r="A147" t="s">
        <v>2868</v>
      </c>
      <c r="B147" t="s">
        <v>2869</v>
      </c>
      <c r="C147" t="s">
        <v>30</v>
      </c>
    </row>
    <row r="149" spans="1:7" x14ac:dyDescent="0.35">
      <c r="A149" t="s">
        <v>2876</v>
      </c>
      <c r="B149" t="s">
        <v>2248</v>
      </c>
      <c r="C149" t="s">
        <v>2877</v>
      </c>
      <c r="D149" t="s">
        <v>2878</v>
      </c>
      <c r="E149" t="s">
        <v>4</v>
      </c>
      <c r="F149">
        <f>114/0.67</f>
        <v>170.14925373134326</v>
      </c>
      <c r="G149" t="s">
        <v>5</v>
      </c>
    </row>
    <row r="151" spans="1:7" x14ac:dyDescent="0.35">
      <c r="A151" t="s">
        <v>3003</v>
      </c>
      <c r="B151" t="s">
        <v>3004</v>
      </c>
      <c r="C151" t="s">
        <v>3005</v>
      </c>
      <c r="D151" t="s">
        <v>287</v>
      </c>
      <c r="E151" t="s">
        <v>4</v>
      </c>
      <c r="F151">
        <f>223/12.5</f>
        <v>17.84</v>
      </c>
      <c r="G151" t="s">
        <v>5</v>
      </c>
    </row>
    <row r="153" spans="1:7" x14ac:dyDescent="0.35">
      <c r="A153" s="1" t="s">
        <v>3018</v>
      </c>
      <c r="B153" s="1" t="s">
        <v>3019</v>
      </c>
      <c r="C153" s="1" t="s">
        <v>3020</v>
      </c>
      <c r="D153" s="1" t="s">
        <v>654</v>
      </c>
      <c r="E153" s="1" t="s">
        <v>4</v>
      </c>
      <c r="F153" s="1">
        <f>1228/77</f>
        <v>15.948051948051948</v>
      </c>
      <c r="G153" s="1" t="s">
        <v>10</v>
      </c>
    </row>
    <row r="155" spans="1:7" x14ac:dyDescent="0.35">
      <c r="A155" t="s">
        <v>3087</v>
      </c>
      <c r="B155" t="s">
        <v>3088</v>
      </c>
      <c r="C155" t="s">
        <v>1041</v>
      </c>
      <c r="D155" t="s">
        <v>695</v>
      </c>
      <c r="E155" t="s">
        <v>4</v>
      </c>
      <c r="F155">
        <f>26/2</f>
        <v>13</v>
      </c>
      <c r="G155" t="s">
        <v>10</v>
      </c>
    </row>
    <row r="157" spans="1:7" x14ac:dyDescent="0.35">
      <c r="A157" t="s">
        <v>3110</v>
      </c>
      <c r="B157" t="s">
        <v>98</v>
      </c>
      <c r="C157" t="s">
        <v>1379</v>
      </c>
      <c r="D157" t="s">
        <v>59</v>
      </c>
      <c r="E157" t="s">
        <v>4</v>
      </c>
      <c r="F157">
        <f>400/13</f>
        <v>30.76923076923077</v>
      </c>
      <c r="G157" t="s">
        <v>5</v>
      </c>
    </row>
    <row r="159" spans="1:7" x14ac:dyDescent="0.35">
      <c r="A159" t="s">
        <v>3112</v>
      </c>
      <c r="B159" t="s">
        <v>3113</v>
      </c>
      <c r="C159" t="s">
        <v>3114</v>
      </c>
      <c r="D159" t="s">
        <v>2014</v>
      </c>
      <c r="E159" t="s">
        <v>4</v>
      </c>
      <c r="F159">
        <f>585/36</f>
        <v>16.25</v>
      </c>
      <c r="G159" t="s">
        <v>10</v>
      </c>
    </row>
    <row r="160" spans="1:7" x14ac:dyDescent="0.35">
      <c r="D160" t="s">
        <v>3115</v>
      </c>
      <c r="F160">
        <f>585/46</f>
        <v>12.717391304347826</v>
      </c>
      <c r="G160" t="s">
        <v>10</v>
      </c>
    </row>
    <row r="162" spans="1:7" x14ac:dyDescent="0.35">
      <c r="A162" t="s">
        <v>3137</v>
      </c>
      <c r="B162" t="s">
        <v>1055</v>
      </c>
      <c r="C162" t="s">
        <v>3138</v>
      </c>
      <c r="D162" t="s">
        <v>613</v>
      </c>
      <c r="E162" t="s">
        <v>4</v>
      </c>
      <c r="F162">
        <f>725/40</f>
        <v>18.125</v>
      </c>
      <c r="G162" t="s">
        <v>10</v>
      </c>
    </row>
    <row r="164" spans="1:7" x14ac:dyDescent="0.35">
      <c r="A164" t="s">
        <v>3153</v>
      </c>
      <c r="B164" t="s">
        <v>2719</v>
      </c>
      <c r="C164" t="s">
        <v>199</v>
      </c>
      <c r="D164" t="s">
        <v>911</v>
      </c>
      <c r="E164" t="s">
        <v>4</v>
      </c>
      <c r="F164">
        <f>900/56</f>
        <v>16.071428571428573</v>
      </c>
      <c r="G164" t="s">
        <v>10</v>
      </c>
    </row>
    <row r="166" spans="1:7" x14ac:dyDescent="0.35">
      <c r="A166" t="s">
        <v>3300</v>
      </c>
      <c r="B166" t="s">
        <v>2054</v>
      </c>
      <c r="C166" t="s">
        <v>566</v>
      </c>
      <c r="D166" t="s">
        <v>3301</v>
      </c>
      <c r="E166" t="s">
        <v>4</v>
      </c>
      <c r="F166">
        <f>10.7/0.7</f>
        <v>15.285714285714286</v>
      </c>
      <c r="G166" t="s">
        <v>10</v>
      </c>
    </row>
    <row r="168" spans="1:7" x14ac:dyDescent="0.35">
      <c r="A168" t="s">
        <v>3307</v>
      </c>
      <c r="B168" t="s">
        <v>29</v>
      </c>
      <c r="C168" t="s">
        <v>3308</v>
      </c>
      <c r="D168" t="s">
        <v>192</v>
      </c>
      <c r="E168" t="s">
        <v>4</v>
      </c>
      <c r="F168">
        <f>33/11</f>
        <v>3</v>
      </c>
      <c r="G168" t="s">
        <v>10</v>
      </c>
    </row>
    <row r="170" spans="1:7" x14ac:dyDescent="0.35">
      <c r="A170" t="s">
        <v>3362</v>
      </c>
      <c r="B170" t="s">
        <v>3363</v>
      </c>
      <c r="C170" t="s">
        <v>1147</v>
      </c>
      <c r="D170" t="s">
        <v>942</v>
      </c>
      <c r="E170" t="s">
        <v>4</v>
      </c>
      <c r="F170">
        <f>441/19</f>
        <v>23.210526315789473</v>
      </c>
      <c r="G170" t="s">
        <v>10</v>
      </c>
    </row>
    <row r="172" spans="1:7" x14ac:dyDescent="0.35">
      <c r="A172" t="s">
        <v>3409</v>
      </c>
      <c r="B172" t="s">
        <v>132</v>
      </c>
      <c r="C172" t="s">
        <v>22</v>
      </c>
      <c r="D172" t="s">
        <v>3410</v>
      </c>
      <c r="E172" t="s">
        <v>4</v>
      </c>
      <c r="F172">
        <f>350/15.73</f>
        <v>22.250476795931341</v>
      </c>
      <c r="G172" t="s">
        <v>10</v>
      </c>
    </row>
    <row r="174" spans="1:7" x14ac:dyDescent="0.35">
      <c r="A174" t="s">
        <v>3483</v>
      </c>
      <c r="B174" t="s">
        <v>3484</v>
      </c>
      <c r="C174" t="s">
        <v>3485</v>
      </c>
      <c r="D174" t="s">
        <v>164</v>
      </c>
      <c r="E174" t="s">
        <v>4</v>
      </c>
      <c r="F174">
        <f>228/25</f>
        <v>9.1199999999999992</v>
      </c>
      <c r="G174" t="s">
        <v>10</v>
      </c>
    </row>
    <row r="176" spans="1:7" x14ac:dyDescent="0.35">
      <c r="A176" t="s">
        <v>3550</v>
      </c>
      <c r="B176" t="s">
        <v>2363</v>
      </c>
      <c r="C176" t="s">
        <v>543</v>
      </c>
      <c r="D176" t="s">
        <v>144</v>
      </c>
      <c r="E176" t="s">
        <v>4</v>
      </c>
      <c r="F176">
        <f>835/30</f>
        <v>27.833333333333332</v>
      </c>
      <c r="G176" t="s">
        <v>5</v>
      </c>
    </row>
    <row r="178" spans="1:7" x14ac:dyDescent="0.35">
      <c r="A178" t="s">
        <v>3560</v>
      </c>
      <c r="B178" t="s">
        <v>3561</v>
      </c>
      <c r="C178" t="s">
        <v>3562</v>
      </c>
      <c r="D178" t="s">
        <v>467</v>
      </c>
      <c r="E178" t="s">
        <v>4</v>
      </c>
      <c r="F178">
        <f>645/23</f>
        <v>28.043478260869566</v>
      </c>
      <c r="G178" t="s">
        <v>5</v>
      </c>
    </row>
    <row r="180" spans="1:7" x14ac:dyDescent="0.35">
      <c r="A180" t="s">
        <v>3570</v>
      </c>
      <c r="B180" t="s">
        <v>3571</v>
      </c>
      <c r="C180" t="s">
        <v>3572</v>
      </c>
      <c r="D180" t="s">
        <v>2349</v>
      </c>
      <c r="E180" t="s">
        <v>4</v>
      </c>
      <c r="F180">
        <f>93/5.25</f>
        <v>17.714285714285715</v>
      </c>
      <c r="G180" t="s">
        <v>10</v>
      </c>
    </row>
    <row r="182" spans="1:7" x14ac:dyDescent="0.35">
      <c r="A182" t="s">
        <v>3595</v>
      </c>
      <c r="B182" t="s">
        <v>3596</v>
      </c>
      <c r="C182" t="s">
        <v>3597</v>
      </c>
      <c r="D182" t="s">
        <v>79</v>
      </c>
      <c r="E182" t="s">
        <v>4</v>
      </c>
      <c r="F182">
        <f>139/10</f>
        <v>13.9</v>
      </c>
      <c r="G182" t="s">
        <v>10</v>
      </c>
    </row>
    <row r="184" spans="1:7" x14ac:dyDescent="0.35">
      <c r="A184" t="s">
        <v>3607</v>
      </c>
      <c r="B184" t="s">
        <v>703</v>
      </c>
      <c r="C184" t="s">
        <v>941</v>
      </c>
      <c r="D184" t="s">
        <v>280</v>
      </c>
      <c r="E184" t="s">
        <v>4</v>
      </c>
      <c r="F184">
        <f>2100/20</f>
        <v>105</v>
      </c>
      <c r="G184" t="s">
        <v>5</v>
      </c>
    </row>
    <row r="186" spans="1:7" x14ac:dyDescent="0.35">
      <c r="A186" t="s">
        <v>3637</v>
      </c>
      <c r="B186" t="s">
        <v>1178</v>
      </c>
      <c r="C186" t="s">
        <v>1575</v>
      </c>
      <c r="D186" t="s">
        <v>3638</v>
      </c>
      <c r="E186" t="s">
        <v>4</v>
      </c>
      <c r="F186">
        <f>97/5</f>
        <v>19.399999999999999</v>
      </c>
      <c r="G186" t="s">
        <v>5</v>
      </c>
    </row>
    <row r="188" spans="1:7" x14ac:dyDescent="0.35">
      <c r="A188" t="s">
        <v>3652</v>
      </c>
      <c r="B188" t="s">
        <v>562</v>
      </c>
      <c r="C188" t="s">
        <v>2073</v>
      </c>
      <c r="D188" t="s">
        <v>695</v>
      </c>
      <c r="E188" t="s">
        <v>4</v>
      </c>
      <c r="F188">
        <f>124/2</f>
        <v>62</v>
      </c>
      <c r="G188" t="s">
        <v>5</v>
      </c>
    </row>
    <row r="190" spans="1:7" x14ac:dyDescent="0.35">
      <c r="A190" t="s">
        <v>3665</v>
      </c>
      <c r="B190" t="s">
        <v>2665</v>
      </c>
      <c r="C190" t="s">
        <v>3102</v>
      </c>
      <c r="D190" t="s">
        <v>122</v>
      </c>
      <c r="E190" t="s">
        <v>4</v>
      </c>
      <c r="F190">
        <f>522/16</f>
        <v>32.625</v>
      </c>
      <c r="G190" t="s">
        <v>5</v>
      </c>
    </row>
    <row r="192" spans="1:7" x14ac:dyDescent="0.35">
      <c r="A192" t="s">
        <v>3701</v>
      </c>
      <c r="B192" t="s">
        <v>1110</v>
      </c>
      <c r="C192" t="s">
        <v>3702</v>
      </c>
      <c r="D192" t="s">
        <v>67</v>
      </c>
      <c r="E192" t="s">
        <v>4</v>
      </c>
      <c r="F192">
        <f>144/3.8</f>
        <v>37.894736842105267</v>
      </c>
      <c r="G192" t="s">
        <v>5</v>
      </c>
    </row>
    <row r="194" spans="1:7" x14ac:dyDescent="0.35">
      <c r="A194" t="s">
        <v>3851</v>
      </c>
      <c r="B194" t="s">
        <v>3321</v>
      </c>
      <c r="C194" t="s">
        <v>2917</v>
      </c>
      <c r="D194" t="s">
        <v>79</v>
      </c>
      <c r="E194" t="s">
        <v>4</v>
      </c>
      <c r="F194">
        <f>338/10</f>
        <v>33.799999999999997</v>
      </c>
      <c r="G194" t="s">
        <v>5</v>
      </c>
    </row>
    <row r="196" spans="1:7" x14ac:dyDescent="0.35">
      <c r="A196" t="s">
        <v>3875</v>
      </c>
      <c r="B196" t="s">
        <v>3876</v>
      </c>
      <c r="C196" t="s">
        <v>3877</v>
      </c>
      <c r="D196" t="s">
        <v>153</v>
      </c>
      <c r="E196" t="s">
        <v>4</v>
      </c>
      <c r="F196">
        <f>1545/26</f>
        <v>59.42307692307692</v>
      </c>
      <c r="G196" t="s">
        <v>5</v>
      </c>
    </row>
    <row r="198" spans="1:7" x14ac:dyDescent="0.35">
      <c r="A198" t="s">
        <v>3880</v>
      </c>
      <c r="B198" t="s">
        <v>3881</v>
      </c>
      <c r="C198" t="s">
        <v>3882</v>
      </c>
      <c r="D198" t="s">
        <v>59</v>
      </c>
      <c r="E198" t="s">
        <v>4</v>
      </c>
      <c r="F198">
        <f>132/13</f>
        <v>10.153846153846153</v>
      </c>
      <c r="G198" t="s">
        <v>10</v>
      </c>
    </row>
    <row r="200" spans="1:7" x14ac:dyDescent="0.35">
      <c r="A200" t="s">
        <v>3964</v>
      </c>
      <c r="B200" t="s">
        <v>2862</v>
      </c>
      <c r="C200" t="s">
        <v>3965</v>
      </c>
      <c r="D200" t="s">
        <v>170</v>
      </c>
      <c r="E200" t="s">
        <v>4</v>
      </c>
      <c r="F200">
        <f>954/70</f>
        <v>13.628571428571428</v>
      </c>
      <c r="G200" t="s">
        <v>10</v>
      </c>
    </row>
    <row r="202" spans="1:7" x14ac:dyDescent="0.35">
      <c r="A202" t="s">
        <v>4014</v>
      </c>
      <c r="B202" t="s">
        <v>4015</v>
      </c>
      <c r="C202" t="s">
        <v>995</v>
      </c>
      <c r="D202" t="s">
        <v>467</v>
      </c>
      <c r="E202" t="s">
        <v>4</v>
      </c>
      <c r="F202">
        <f>161/23</f>
        <v>7</v>
      </c>
      <c r="G202" t="s">
        <v>10</v>
      </c>
    </row>
    <row r="204" spans="1:7" x14ac:dyDescent="0.35">
      <c r="A204" t="s">
        <v>4040</v>
      </c>
      <c r="B204" t="s">
        <v>2430</v>
      </c>
      <c r="C204" t="s">
        <v>4041</v>
      </c>
      <c r="D204" t="s">
        <v>352</v>
      </c>
      <c r="E204" t="s">
        <v>4</v>
      </c>
      <c r="F204">
        <f>1131/18</f>
        <v>62.833333333333336</v>
      </c>
      <c r="G204" t="s">
        <v>5</v>
      </c>
    </row>
    <row r="206" spans="1:7" x14ac:dyDescent="0.35">
      <c r="A206" t="s">
        <v>4044</v>
      </c>
      <c r="B206" t="s">
        <v>2402</v>
      </c>
      <c r="C206" t="s">
        <v>4045</v>
      </c>
      <c r="D206" t="s">
        <v>59</v>
      </c>
      <c r="E206" t="s">
        <v>4</v>
      </c>
      <c r="F206">
        <f>580/13</f>
        <v>44.615384615384613</v>
      </c>
      <c r="G206" t="s">
        <v>5</v>
      </c>
    </row>
    <row r="208" spans="1:7" x14ac:dyDescent="0.35">
      <c r="A208" t="s">
        <v>4190</v>
      </c>
      <c r="B208" t="s">
        <v>2345</v>
      </c>
      <c r="C208" t="s">
        <v>4191</v>
      </c>
      <c r="D208" t="s">
        <v>2516</v>
      </c>
      <c r="E208" t="s">
        <v>4</v>
      </c>
      <c r="F208">
        <f>207/2.8</f>
        <v>73.928571428571431</v>
      </c>
      <c r="G208" t="s">
        <v>5</v>
      </c>
    </row>
    <row r="210" spans="1:7" x14ac:dyDescent="0.35">
      <c r="A210" t="s">
        <v>4217</v>
      </c>
      <c r="B210" t="s">
        <v>4218</v>
      </c>
      <c r="C210" t="s">
        <v>22</v>
      </c>
      <c r="D210" t="s">
        <v>23</v>
      </c>
      <c r="E210" t="s">
        <v>4</v>
      </c>
      <c r="F210">
        <f>315/21</f>
        <v>15</v>
      </c>
      <c r="G210" t="s">
        <v>10</v>
      </c>
    </row>
    <row r="212" spans="1:7" x14ac:dyDescent="0.35">
      <c r="A212" t="s">
        <v>4234</v>
      </c>
      <c r="B212" t="s">
        <v>2964</v>
      </c>
      <c r="C212" t="s">
        <v>268</v>
      </c>
      <c r="D212" t="s">
        <v>532</v>
      </c>
      <c r="E212" t="s">
        <v>4</v>
      </c>
      <c r="F212">
        <f>180/3.57</f>
        <v>50.420168067226896</v>
      </c>
      <c r="G212" t="s">
        <v>5</v>
      </c>
    </row>
    <row r="214" spans="1:7" x14ac:dyDescent="0.35">
      <c r="A214" t="s">
        <v>4250</v>
      </c>
      <c r="B214" t="s">
        <v>2048</v>
      </c>
      <c r="C214" t="s">
        <v>903</v>
      </c>
      <c r="D214" t="s">
        <v>463</v>
      </c>
      <c r="E214" t="s">
        <v>4</v>
      </c>
      <c r="F214">
        <f>1200/24</f>
        <v>50</v>
      </c>
      <c r="G214" t="s">
        <v>5</v>
      </c>
    </row>
    <row r="216" spans="1:7" x14ac:dyDescent="0.35">
      <c r="A216" t="s">
        <v>4288</v>
      </c>
      <c r="B216" t="s">
        <v>4130</v>
      </c>
      <c r="C216" t="s">
        <v>4289</v>
      </c>
      <c r="D216" t="s">
        <v>86</v>
      </c>
      <c r="E216" t="s">
        <v>4</v>
      </c>
      <c r="F216">
        <f>422/22</f>
        <v>19.181818181818183</v>
      </c>
      <c r="G216" t="s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8232E-D910-4DF7-97C6-D69FD7426A3A}">
  <dimension ref="A1:G55"/>
  <sheetViews>
    <sheetView topLeftCell="A28" workbookViewId="0">
      <selection activeCell="A57" sqref="A57"/>
    </sheetView>
  </sheetViews>
  <sheetFormatPr defaultRowHeight="14.5" x14ac:dyDescent="0.35"/>
  <sheetData>
    <row r="1" spans="1:7" x14ac:dyDescent="0.35">
      <c r="A1" t="s">
        <v>542</v>
      </c>
      <c r="B1" t="s">
        <v>69</v>
      </c>
      <c r="C1" t="s">
        <v>543</v>
      </c>
      <c r="D1" t="s">
        <v>467</v>
      </c>
      <c r="E1" t="s">
        <v>4</v>
      </c>
      <c r="F1">
        <f>168/23</f>
        <v>7.3043478260869561</v>
      </c>
      <c r="G1" t="s">
        <v>10</v>
      </c>
    </row>
    <row r="3" spans="1:7" x14ac:dyDescent="0.35">
      <c r="A3" t="s">
        <v>603</v>
      </c>
      <c r="B3" t="s">
        <v>604</v>
      </c>
      <c r="C3" t="s">
        <v>605</v>
      </c>
      <c r="D3" t="s">
        <v>606</v>
      </c>
      <c r="E3" t="s">
        <v>4</v>
      </c>
      <c r="F3">
        <f>3850/101</f>
        <v>38.118811881188115</v>
      </c>
      <c r="G3" t="s">
        <v>5</v>
      </c>
    </row>
    <row r="5" spans="1:7" x14ac:dyDescent="0.35">
      <c r="A5" t="s">
        <v>921</v>
      </c>
      <c r="B5" t="s">
        <v>922</v>
      </c>
      <c r="C5" t="s">
        <v>923</v>
      </c>
      <c r="D5" t="s">
        <v>924</v>
      </c>
      <c r="E5" t="s">
        <v>4</v>
      </c>
      <c r="F5">
        <f>1372/95</f>
        <v>14.442105263157895</v>
      </c>
      <c r="G5" t="s">
        <v>10</v>
      </c>
    </row>
    <row r="7" spans="1:7" x14ac:dyDescent="0.35">
      <c r="A7" t="s">
        <v>1013</v>
      </c>
      <c r="B7" t="s">
        <v>1014</v>
      </c>
      <c r="C7" t="s">
        <v>1015</v>
      </c>
      <c r="D7" t="s">
        <v>1016</v>
      </c>
      <c r="E7" t="s">
        <v>4</v>
      </c>
      <c r="F7">
        <f>290/12.8</f>
        <v>22.65625</v>
      </c>
      <c r="G7" t="s">
        <v>15</v>
      </c>
    </row>
    <row r="9" spans="1:7" x14ac:dyDescent="0.35">
      <c r="A9" t="s">
        <v>1029</v>
      </c>
      <c r="B9" t="s">
        <v>124</v>
      </c>
      <c r="C9" t="s">
        <v>1030</v>
      </c>
      <c r="D9" t="s">
        <v>1031</v>
      </c>
      <c r="E9" t="s">
        <v>4</v>
      </c>
      <c r="F9">
        <f>11/1.06</f>
        <v>10.377358490566037</v>
      </c>
      <c r="G9" t="s">
        <v>10</v>
      </c>
    </row>
    <row r="11" spans="1:7" x14ac:dyDescent="0.35">
      <c r="A11" t="s">
        <v>1065</v>
      </c>
      <c r="B11" t="s">
        <v>84</v>
      </c>
      <c r="C11" t="s">
        <v>1066</v>
      </c>
      <c r="D11" t="s">
        <v>1067</v>
      </c>
      <c r="E11" t="s">
        <v>4</v>
      </c>
      <c r="F11">
        <f>228/14.5</f>
        <v>15.724137931034482</v>
      </c>
      <c r="G11" t="s">
        <v>10</v>
      </c>
    </row>
    <row r="13" spans="1:7" x14ac:dyDescent="0.35">
      <c r="A13" t="s">
        <v>1365</v>
      </c>
      <c r="B13" t="s">
        <v>1366</v>
      </c>
      <c r="C13" t="s">
        <v>1231</v>
      </c>
      <c r="D13" t="s">
        <v>419</v>
      </c>
      <c r="E13" t="s">
        <v>4</v>
      </c>
      <c r="F13">
        <f>312/36</f>
        <v>8.6666666666666661</v>
      </c>
      <c r="G13" t="s">
        <v>10</v>
      </c>
    </row>
    <row r="15" spans="1:7" x14ac:dyDescent="0.35">
      <c r="A15" t="s">
        <v>1679</v>
      </c>
      <c r="B15" t="s">
        <v>703</v>
      </c>
      <c r="C15" t="s">
        <v>1147</v>
      </c>
      <c r="D15" t="s">
        <v>280</v>
      </c>
      <c r="E15" t="s">
        <v>4</v>
      </c>
      <c r="F15">
        <f>207/19</f>
        <v>10.894736842105264</v>
      </c>
      <c r="G15" t="s">
        <v>10</v>
      </c>
    </row>
    <row r="17" spans="1:7" x14ac:dyDescent="0.35">
      <c r="A17" t="s">
        <v>2455</v>
      </c>
      <c r="B17" t="s">
        <v>296</v>
      </c>
      <c r="C17" t="s">
        <v>2456</v>
      </c>
      <c r="D17" t="s">
        <v>59</v>
      </c>
      <c r="E17" t="s">
        <v>4</v>
      </c>
      <c r="F17">
        <f>377/13</f>
        <v>29</v>
      </c>
      <c r="G17" t="s">
        <v>5</v>
      </c>
    </row>
    <row r="19" spans="1:7" x14ac:dyDescent="0.35">
      <c r="A19" t="s">
        <v>2574</v>
      </c>
      <c r="B19" t="s">
        <v>2575</v>
      </c>
      <c r="C19" t="s">
        <v>806</v>
      </c>
      <c r="D19" t="s">
        <v>294</v>
      </c>
      <c r="E19" t="s">
        <v>4</v>
      </c>
      <c r="F19">
        <f>2630/42</f>
        <v>62.61904761904762</v>
      </c>
      <c r="G19" t="s">
        <v>5</v>
      </c>
    </row>
    <row r="21" spans="1:7" x14ac:dyDescent="0.35">
      <c r="A21" t="s">
        <v>2607</v>
      </c>
      <c r="B21" t="s">
        <v>1230</v>
      </c>
      <c r="C21" t="s">
        <v>2608</v>
      </c>
      <c r="D21" t="s">
        <v>2609</v>
      </c>
      <c r="E21" t="s">
        <v>4</v>
      </c>
      <c r="F21">
        <f>366/14.8</f>
        <v>24.72972972972973</v>
      </c>
      <c r="G21" t="s">
        <v>5</v>
      </c>
    </row>
    <row r="23" spans="1:7" x14ac:dyDescent="0.35">
      <c r="A23" t="s">
        <v>2928</v>
      </c>
      <c r="B23" t="s">
        <v>2929</v>
      </c>
      <c r="C23" t="s">
        <v>2930</v>
      </c>
      <c r="D23" t="s">
        <v>352</v>
      </c>
      <c r="E23" t="s">
        <v>4</v>
      </c>
      <c r="F23">
        <f>350/18</f>
        <v>19.444444444444443</v>
      </c>
      <c r="G23" t="s">
        <v>10</v>
      </c>
    </row>
    <row r="25" spans="1:7" x14ac:dyDescent="0.35">
      <c r="A25" t="s">
        <v>2931</v>
      </c>
      <c r="B25" t="s">
        <v>2932</v>
      </c>
      <c r="C25" t="s">
        <v>2933</v>
      </c>
      <c r="D25" t="s">
        <v>2014</v>
      </c>
      <c r="E25" t="s">
        <v>4</v>
      </c>
      <c r="F25">
        <f>976/36</f>
        <v>27.111111111111111</v>
      </c>
      <c r="G25" t="s">
        <v>5</v>
      </c>
    </row>
    <row r="27" spans="1:7" x14ac:dyDescent="0.35">
      <c r="A27" t="s">
        <v>2934</v>
      </c>
      <c r="B27" t="s">
        <v>2935</v>
      </c>
      <c r="C27" t="s">
        <v>2936</v>
      </c>
      <c r="D27" t="s">
        <v>27</v>
      </c>
      <c r="E27" t="s">
        <v>4</v>
      </c>
      <c r="F27">
        <f>590/35</f>
        <v>16.857142857142858</v>
      </c>
      <c r="G27" t="s">
        <v>10</v>
      </c>
    </row>
    <row r="29" spans="1:7" x14ac:dyDescent="0.35">
      <c r="A29" t="s">
        <v>3139</v>
      </c>
      <c r="B29" t="s">
        <v>3140</v>
      </c>
      <c r="C29" t="s">
        <v>3141</v>
      </c>
      <c r="D29" t="s">
        <v>467</v>
      </c>
      <c r="E29" t="s">
        <v>4</v>
      </c>
      <c r="F29">
        <f>216/23</f>
        <v>9.3913043478260878</v>
      </c>
      <c r="G29" t="s">
        <v>10</v>
      </c>
    </row>
    <row r="31" spans="1:7" x14ac:dyDescent="0.35">
      <c r="A31" t="s">
        <v>3247</v>
      </c>
      <c r="B31" t="s">
        <v>124</v>
      </c>
      <c r="C31" t="s">
        <v>3248</v>
      </c>
      <c r="D31" t="s">
        <v>3249</v>
      </c>
      <c r="E31" t="s">
        <v>4</v>
      </c>
      <c r="F31">
        <f>16/0.85</f>
        <v>18.823529411764707</v>
      </c>
      <c r="G31" t="s">
        <v>10</v>
      </c>
    </row>
    <row r="33" spans="1:7" x14ac:dyDescent="0.35">
      <c r="A33" t="s">
        <v>3260</v>
      </c>
      <c r="B33" t="s">
        <v>1480</v>
      </c>
      <c r="C33" t="s">
        <v>3261</v>
      </c>
      <c r="D33" t="s">
        <v>596</v>
      </c>
      <c r="E33" t="s">
        <v>4</v>
      </c>
      <c r="F33">
        <f>4300/55</f>
        <v>78.181818181818187</v>
      </c>
      <c r="G33" t="s">
        <v>5</v>
      </c>
    </row>
    <row r="35" spans="1:7" x14ac:dyDescent="0.35">
      <c r="A35" t="s">
        <v>3270</v>
      </c>
      <c r="B35" t="s">
        <v>3196</v>
      </c>
      <c r="C35" t="s">
        <v>3271</v>
      </c>
      <c r="D35" t="s">
        <v>3272</v>
      </c>
      <c r="E35" t="s">
        <v>4</v>
      </c>
      <c r="F35">
        <f>5/0.7</f>
        <v>7.1428571428571432</v>
      </c>
      <c r="G35" t="s">
        <v>10</v>
      </c>
    </row>
    <row r="37" spans="1:7" x14ac:dyDescent="0.35">
      <c r="A37" t="s">
        <v>3290</v>
      </c>
      <c r="B37" t="s">
        <v>790</v>
      </c>
      <c r="C37" t="s">
        <v>3291</v>
      </c>
      <c r="D37" t="s">
        <v>463</v>
      </c>
      <c r="E37" t="s">
        <v>4</v>
      </c>
      <c r="F37">
        <f>191/24</f>
        <v>7.958333333333333</v>
      </c>
      <c r="G37" t="s">
        <v>10</v>
      </c>
    </row>
    <row r="39" spans="1:7" x14ac:dyDescent="0.35">
      <c r="A39" t="s">
        <v>3470</v>
      </c>
      <c r="B39" t="s">
        <v>3471</v>
      </c>
      <c r="C39" t="s">
        <v>3472</v>
      </c>
      <c r="D39" t="s">
        <v>3100</v>
      </c>
      <c r="E39" t="s">
        <v>4</v>
      </c>
      <c r="F39">
        <f>2500/75</f>
        <v>33.333333333333336</v>
      </c>
      <c r="G39" t="s">
        <v>10</v>
      </c>
    </row>
    <row r="41" spans="1:7" x14ac:dyDescent="0.35">
      <c r="A41" t="s">
        <v>3475</v>
      </c>
      <c r="B41" t="s">
        <v>3476</v>
      </c>
      <c r="C41" t="s">
        <v>3477</v>
      </c>
      <c r="D41" t="s">
        <v>164</v>
      </c>
      <c r="E41" t="s">
        <v>4</v>
      </c>
      <c r="F41">
        <f>640/25</f>
        <v>25.6</v>
      </c>
      <c r="G41" t="s">
        <v>5</v>
      </c>
    </row>
    <row r="43" spans="1:7" x14ac:dyDescent="0.35">
      <c r="A43" t="s">
        <v>3532</v>
      </c>
      <c r="B43" t="s">
        <v>1470</v>
      </c>
      <c r="C43" t="s">
        <v>3533</v>
      </c>
      <c r="D43" t="s">
        <v>1457</v>
      </c>
      <c r="E43" t="s">
        <v>4</v>
      </c>
      <c r="F43">
        <f>237/13.5</f>
        <v>17.555555555555557</v>
      </c>
      <c r="G43" t="s">
        <v>10</v>
      </c>
    </row>
    <row r="45" spans="1:7" x14ac:dyDescent="0.35">
      <c r="A45" t="s">
        <v>3592</v>
      </c>
      <c r="B45" t="s">
        <v>1406</v>
      </c>
      <c r="C45" t="s">
        <v>3593</v>
      </c>
      <c r="D45" t="s">
        <v>1002</v>
      </c>
      <c r="E45" t="s">
        <v>4</v>
      </c>
      <c r="F45">
        <f>74/7.5</f>
        <v>9.8666666666666671</v>
      </c>
      <c r="G45" t="s">
        <v>10</v>
      </c>
    </row>
    <row r="47" spans="1:7" x14ac:dyDescent="0.35">
      <c r="A47" t="s">
        <v>3698</v>
      </c>
      <c r="B47" t="s">
        <v>1000</v>
      </c>
      <c r="C47" t="s">
        <v>3699</v>
      </c>
      <c r="D47" t="s">
        <v>35</v>
      </c>
      <c r="E47" t="s">
        <v>4</v>
      </c>
      <c r="F47">
        <f>136/6</f>
        <v>22.666666666666668</v>
      </c>
      <c r="G47" t="s">
        <v>597</v>
      </c>
    </row>
    <row r="49" spans="1:7" x14ac:dyDescent="0.35">
      <c r="A49" t="s">
        <v>3852</v>
      </c>
      <c r="B49" t="s">
        <v>2991</v>
      </c>
      <c r="C49" t="s">
        <v>1001</v>
      </c>
      <c r="D49" t="s">
        <v>498</v>
      </c>
      <c r="E49" t="s">
        <v>4</v>
      </c>
      <c r="F49">
        <f>127/8</f>
        <v>15.875</v>
      </c>
      <c r="G49" t="s">
        <v>10</v>
      </c>
    </row>
    <row r="51" spans="1:7" x14ac:dyDescent="0.35">
      <c r="A51" t="s">
        <v>3885</v>
      </c>
      <c r="B51" t="s">
        <v>1334</v>
      </c>
      <c r="C51" t="s">
        <v>3886</v>
      </c>
      <c r="D51" t="s">
        <v>815</v>
      </c>
      <c r="E51" t="s">
        <v>4</v>
      </c>
      <c r="F51">
        <f>374/32</f>
        <v>11.6875</v>
      </c>
      <c r="G51" t="s">
        <v>10</v>
      </c>
    </row>
    <row r="53" spans="1:7" x14ac:dyDescent="0.35">
      <c r="A53" t="s">
        <v>3903</v>
      </c>
      <c r="B53" t="s">
        <v>3904</v>
      </c>
      <c r="C53" t="s">
        <v>3905</v>
      </c>
      <c r="D53" t="s">
        <v>2014</v>
      </c>
      <c r="E53" t="s">
        <v>4</v>
      </c>
      <c r="F53">
        <f>774/36</f>
        <v>21.5</v>
      </c>
      <c r="G53" t="s">
        <v>5</v>
      </c>
    </row>
    <row r="55" spans="1:7" x14ac:dyDescent="0.35">
      <c r="A55" t="s">
        <v>4167</v>
      </c>
      <c r="B55" t="s">
        <v>3619</v>
      </c>
      <c r="C55" t="s">
        <v>2340</v>
      </c>
      <c r="D55" t="s">
        <v>178</v>
      </c>
      <c r="E55" t="s">
        <v>4</v>
      </c>
      <c r="F55">
        <f>134/15</f>
        <v>8.9333333333333336</v>
      </c>
      <c r="G55" t="s">
        <v>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D7925-8D17-4CC5-A26E-3C77F115AE28}">
  <dimension ref="A1:G57"/>
  <sheetViews>
    <sheetView topLeftCell="A30" workbookViewId="0">
      <selection activeCell="A59" sqref="A59"/>
    </sheetView>
  </sheetViews>
  <sheetFormatPr defaultRowHeight="14.5" x14ac:dyDescent="0.35"/>
  <sheetData>
    <row r="1" spans="1:7" x14ac:dyDescent="0.35">
      <c r="A1" s="2" t="s">
        <v>109</v>
      </c>
      <c r="B1" s="2" t="s">
        <v>110</v>
      </c>
      <c r="C1" s="2" t="s">
        <v>111</v>
      </c>
      <c r="D1" s="2" t="s">
        <v>112</v>
      </c>
      <c r="E1" s="2" t="s">
        <v>4</v>
      </c>
      <c r="F1" s="2">
        <f>110/1.8</f>
        <v>61.111111111111107</v>
      </c>
      <c r="G1" s="2" t="s">
        <v>5</v>
      </c>
    </row>
    <row r="3" spans="1:7" x14ac:dyDescent="0.35">
      <c r="A3" t="s">
        <v>1007</v>
      </c>
      <c r="B3" t="s">
        <v>1008</v>
      </c>
      <c r="C3" t="s">
        <v>30</v>
      </c>
      <c r="D3" t="s">
        <v>31</v>
      </c>
      <c r="E3" t="s">
        <v>4</v>
      </c>
      <c r="F3" t="s">
        <v>1009</v>
      </c>
    </row>
    <row r="5" spans="1:7" x14ac:dyDescent="0.35">
      <c r="A5" t="s">
        <v>1465</v>
      </c>
      <c r="B5" t="s">
        <v>1466</v>
      </c>
      <c r="C5" t="s">
        <v>1467</v>
      </c>
      <c r="D5" t="s">
        <v>1468</v>
      </c>
      <c r="E5" t="s">
        <v>4</v>
      </c>
      <c r="F5">
        <f>220/2.1</f>
        <v>104.76190476190476</v>
      </c>
      <c r="G5" t="s">
        <v>5</v>
      </c>
    </row>
    <row r="7" spans="1:7" x14ac:dyDescent="0.35">
      <c r="A7" t="s">
        <v>1489</v>
      </c>
      <c r="B7" t="s">
        <v>1490</v>
      </c>
      <c r="C7" t="s">
        <v>351</v>
      </c>
      <c r="D7" t="s">
        <v>59</v>
      </c>
      <c r="E7" t="s">
        <v>4</v>
      </c>
      <c r="F7">
        <f>500/13</f>
        <v>38.46153846153846</v>
      </c>
      <c r="G7" t="s">
        <v>5</v>
      </c>
    </row>
    <row r="9" spans="1:7" x14ac:dyDescent="0.35">
      <c r="A9" t="s">
        <v>1524</v>
      </c>
      <c r="B9" t="s">
        <v>1525</v>
      </c>
      <c r="C9" t="s">
        <v>1526</v>
      </c>
      <c r="D9" t="s">
        <v>1527</v>
      </c>
      <c r="E9" t="s">
        <v>4</v>
      </c>
      <c r="F9">
        <f>1187/190</f>
        <v>6.2473684210526317</v>
      </c>
      <c r="G9" t="s">
        <v>10</v>
      </c>
    </row>
    <row r="11" spans="1:7" x14ac:dyDescent="0.35">
      <c r="A11" t="s">
        <v>1601</v>
      </c>
      <c r="B11" t="s">
        <v>703</v>
      </c>
      <c r="C11" t="s">
        <v>1602</v>
      </c>
      <c r="D11" t="s">
        <v>86</v>
      </c>
      <c r="E11" t="s">
        <v>4</v>
      </c>
      <c r="F11">
        <f>730/22</f>
        <v>33.18181818181818</v>
      </c>
      <c r="G11" t="s">
        <v>5</v>
      </c>
    </row>
    <row r="13" spans="1:7" x14ac:dyDescent="0.35">
      <c r="A13" s="1" t="s">
        <v>1688</v>
      </c>
      <c r="B13" s="1" t="s">
        <v>1689</v>
      </c>
      <c r="C13" s="1" t="s">
        <v>1548</v>
      </c>
      <c r="D13" s="1" t="s">
        <v>130</v>
      </c>
      <c r="E13" s="1" t="s">
        <v>4</v>
      </c>
      <c r="F13" s="1">
        <f>1273/100</f>
        <v>12.73</v>
      </c>
      <c r="G13" s="1" t="s">
        <v>10</v>
      </c>
    </row>
    <row r="15" spans="1:7" x14ac:dyDescent="0.35">
      <c r="A15" t="s">
        <v>1717</v>
      </c>
      <c r="B15" t="s">
        <v>1718</v>
      </c>
      <c r="C15" t="s">
        <v>1719</v>
      </c>
      <c r="D15" t="s">
        <v>1720</v>
      </c>
      <c r="E15" t="s">
        <v>4</v>
      </c>
      <c r="F15">
        <f>5490/114</f>
        <v>48.157894736842103</v>
      </c>
      <c r="G15" t="s">
        <v>5</v>
      </c>
    </row>
    <row r="17" spans="1:7" x14ac:dyDescent="0.35">
      <c r="A17" t="s">
        <v>1833</v>
      </c>
      <c r="B17" t="s">
        <v>267</v>
      </c>
      <c r="C17" t="s">
        <v>111</v>
      </c>
      <c r="D17" t="s">
        <v>1834</v>
      </c>
      <c r="E17" t="s">
        <v>4</v>
      </c>
      <c r="F17">
        <f>400/1.7</f>
        <v>235.29411764705884</v>
      </c>
      <c r="G17" t="s">
        <v>5</v>
      </c>
    </row>
    <row r="19" spans="1:7" x14ac:dyDescent="0.35">
      <c r="A19" t="s">
        <v>1905</v>
      </c>
      <c r="B19" t="s">
        <v>1625</v>
      </c>
      <c r="C19" t="s">
        <v>1030</v>
      </c>
      <c r="D19" t="s">
        <v>1594</v>
      </c>
      <c r="E19" t="s">
        <v>4</v>
      </c>
      <c r="F19">
        <f>17/1.1</f>
        <v>15.454545454545453</v>
      </c>
      <c r="G19" t="s">
        <v>10</v>
      </c>
    </row>
    <row r="21" spans="1:7" x14ac:dyDescent="0.35">
      <c r="A21" t="s">
        <v>2031</v>
      </c>
      <c r="B21" t="s">
        <v>2032</v>
      </c>
      <c r="C21" t="s">
        <v>2033</v>
      </c>
      <c r="D21" t="s">
        <v>86</v>
      </c>
      <c r="E21" t="s">
        <v>4</v>
      </c>
      <c r="F21">
        <f>537/22</f>
        <v>24.40909090909091</v>
      </c>
      <c r="G21" t="s">
        <v>10</v>
      </c>
    </row>
    <row r="23" spans="1:7" x14ac:dyDescent="0.35">
      <c r="A23" t="s">
        <v>2165</v>
      </c>
      <c r="B23" t="s">
        <v>850</v>
      </c>
      <c r="C23" t="s">
        <v>2166</v>
      </c>
      <c r="D23" t="s">
        <v>119</v>
      </c>
      <c r="E23" t="s">
        <v>4</v>
      </c>
      <c r="F23">
        <f>1531/59</f>
        <v>25.949152542372882</v>
      </c>
      <c r="G23" t="s">
        <v>10</v>
      </c>
    </row>
    <row r="25" spans="1:7" x14ac:dyDescent="0.35">
      <c r="A25" t="s">
        <v>2335</v>
      </c>
      <c r="B25" t="s">
        <v>2336</v>
      </c>
      <c r="C25" t="s">
        <v>2337</v>
      </c>
      <c r="D25" t="s">
        <v>63</v>
      </c>
      <c r="E25" t="s">
        <v>4</v>
      </c>
      <c r="F25">
        <f>1090/60</f>
        <v>18.166666666666668</v>
      </c>
      <c r="G25" t="s">
        <v>10</v>
      </c>
    </row>
    <row r="27" spans="1:7" x14ac:dyDescent="0.35">
      <c r="A27" t="s">
        <v>2467</v>
      </c>
      <c r="B27" t="s">
        <v>1637</v>
      </c>
      <c r="C27" t="s">
        <v>2468</v>
      </c>
      <c r="D27" t="s">
        <v>1707</v>
      </c>
      <c r="E27" t="s">
        <v>4</v>
      </c>
      <c r="F27">
        <f>60/5.2</f>
        <v>11.538461538461538</v>
      </c>
      <c r="G27" t="s">
        <v>10</v>
      </c>
    </row>
    <row r="29" spans="1:7" x14ac:dyDescent="0.35">
      <c r="A29" t="s">
        <v>2525</v>
      </c>
      <c r="B29" t="s">
        <v>1631</v>
      </c>
      <c r="C29" t="s">
        <v>2526</v>
      </c>
      <c r="D29" t="s">
        <v>164</v>
      </c>
      <c r="E29" t="s">
        <v>4</v>
      </c>
      <c r="F29">
        <f>222/25</f>
        <v>8.8800000000000008</v>
      </c>
      <c r="G29" t="s">
        <v>10</v>
      </c>
    </row>
    <row r="31" spans="1:7" x14ac:dyDescent="0.35">
      <c r="A31" t="s">
        <v>2544</v>
      </c>
      <c r="B31" t="s">
        <v>29</v>
      </c>
      <c r="C31" t="s">
        <v>30</v>
      </c>
    </row>
    <row r="33" spans="1:7" x14ac:dyDescent="0.35">
      <c r="A33" t="s">
        <v>2684</v>
      </c>
      <c r="B33" t="s">
        <v>1431</v>
      </c>
      <c r="C33" t="s">
        <v>2685</v>
      </c>
      <c r="D33" t="s">
        <v>1112</v>
      </c>
      <c r="E33" t="s">
        <v>4</v>
      </c>
      <c r="F33">
        <f>65/6.5</f>
        <v>10</v>
      </c>
      <c r="G33" t="s">
        <v>10</v>
      </c>
    </row>
    <row r="35" spans="1:7" x14ac:dyDescent="0.35">
      <c r="A35" t="s">
        <v>2770</v>
      </c>
      <c r="B35" t="s">
        <v>2771</v>
      </c>
      <c r="C35" t="s">
        <v>2772</v>
      </c>
      <c r="D35" t="s">
        <v>1457</v>
      </c>
      <c r="E35" t="s">
        <v>4</v>
      </c>
      <c r="F35">
        <f>300/13.5</f>
        <v>22.222222222222221</v>
      </c>
      <c r="G35" t="s">
        <v>10</v>
      </c>
    </row>
    <row r="37" spans="1:7" x14ac:dyDescent="0.35">
      <c r="A37" t="s">
        <v>2827</v>
      </c>
      <c r="B37" t="s">
        <v>202</v>
      </c>
      <c r="C37" t="s">
        <v>1152</v>
      </c>
      <c r="D37" t="s">
        <v>79</v>
      </c>
      <c r="E37" t="s">
        <v>4</v>
      </c>
      <c r="F37">
        <f>380/10</f>
        <v>38</v>
      </c>
      <c r="G37" t="s">
        <v>5</v>
      </c>
    </row>
    <row r="39" spans="1:7" x14ac:dyDescent="0.35">
      <c r="A39" t="s">
        <v>2899</v>
      </c>
      <c r="B39" t="s">
        <v>2019</v>
      </c>
      <c r="C39" t="s">
        <v>1254</v>
      </c>
      <c r="D39" t="s">
        <v>79</v>
      </c>
      <c r="E39" t="s">
        <v>4</v>
      </c>
      <c r="F39">
        <f>620/10</f>
        <v>62</v>
      </c>
      <c r="G39" t="s">
        <v>5</v>
      </c>
    </row>
    <row r="41" spans="1:7" x14ac:dyDescent="0.35">
      <c r="A41" t="s">
        <v>3135</v>
      </c>
      <c r="B41" t="s">
        <v>3136</v>
      </c>
      <c r="C41" t="s">
        <v>2915</v>
      </c>
      <c r="D41" t="s">
        <v>188</v>
      </c>
      <c r="E41" t="s">
        <v>4</v>
      </c>
      <c r="F41">
        <f>200/3.5</f>
        <v>57.142857142857146</v>
      </c>
      <c r="G41" t="s">
        <v>5</v>
      </c>
    </row>
    <row r="43" spans="1:7" x14ac:dyDescent="0.35">
      <c r="A43" t="s">
        <v>3250</v>
      </c>
      <c r="B43" t="s">
        <v>893</v>
      </c>
      <c r="C43" t="s">
        <v>3251</v>
      </c>
      <c r="D43" t="s">
        <v>79</v>
      </c>
      <c r="E43" t="s">
        <v>4</v>
      </c>
      <c r="F43">
        <f>183/10</f>
        <v>18.3</v>
      </c>
      <c r="G43" t="s">
        <v>5</v>
      </c>
    </row>
    <row r="45" spans="1:7" x14ac:dyDescent="0.35">
      <c r="A45" t="s">
        <v>3350</v>
      </c>
      <c r="B45" t="s">
        <v>2590</v>
      </c>
      <c r="C45" t="s">
        <v>928</v>
      </c>
      <c r="D45" t="s">
        <v>174</v>
      </c>
      <c r="E45" t="s">
        <v>4</v>
      </c>
      <c r="F45">
        <f>25/1.75</f>
        <v>14.285714285714286</v>
      </c>
      <c r="G45" t="s">
        <v>10</v>
      </c>
    </row>
    <row r="47" spans="1:7" x14ac:dyDescent="0.35">
      <c r="A47" t="s">
        <v>3396</v>
      </c>
      <c r="B47" t="s">
        <v>222</v>
      </c>
      <c r="C47" t="s">
        <v>3397</v>
      </c>
      <c r="D47" t="s">
        <v>116</v>
      </c>
      <c r="E47" t="s">
        <v>4</v>
      </c>
      <c r="F47">
        <f>108/2.5</f>
        <v>43.2</v>
      </c>
      <c r="G47" t="s">
        <v>5</v>
      </c>
    </row>
    <row r="49" spans="1:7" x14ac:dyDescent="0.35">
      <c r="A49" t="s">
        <v>3605</v>
      </c>
      <c r="B49" t="s">
        <v>2946</v>
      </c>
      <c r="C49" t="s">
        <v>3606</v>
      </c>
      <c r="D49" t="s">
        <v>178</v>
      </c>
      <c r="E49" t="s">
        <v>4</v>
      </c>
      <c r="F49">
        <f>245/15</f>
        <v>16.333333333333332</v>
      </c>
      <c r="G49" t="s">
        <v>10</v>
      </c>
    </row>
    <row r="51" spans="1:7" x14ac:dyDescent="0.35">
      <c r="A51" t="s">
        <v>3641</v>
      </c>
      <c r="B51" t="s">
        <v>3642</v>
      </c>
      <c r="C51" t="s">
        <v>3029</v>
      </c>
      <c r="D51" t="s">
        <v>467</v>
      </c>
      <c r="E51" t="s">
        <v>4</v>
      </c>
      <c r="F51">
        <f>151/23</f>
        <v>6.5652173913043477</v>
      </c>
      <c r="G51" t="s">
        <v>10</v>
      </c>
    </row>
    <row r="53" spans="1:7" x14ac:dyDescent="0.35">
      <c r="A53" t="s">
        <v>3739</v>
      </c>
      <c r="B53" t="s">
        <v>761</v>
      </c>
      <c r="C53" t="s">
        <v>3740</v>
      </c>
      <c r="D53" t="s">
        <v>116</v>
      </c>
      <c r="E53" t="s">
        <v>4</v>
      </c>
      <c r="F53">
        <f>37/2.5</f>
        <v>14.8</v>
      </c>
      <c r="G53" t="s">
        <v>10</v>
      </c>
    </row>
    <row r="55" spans="1:7" x14ac:dyDescent="0.35">
      <c r="A55" t="s">
        <v>3753</v>
      </c>
      <c r="B55" t="s">
        <v>3754</v>
      </c>
      <c r="C55" t="s">
        <v>1930</v>
      </c>
      <c r="D55" t="s">
        <v>3755</v>
      </c>
      <c r="E55" t="s">
        <v>4</v>
      </c>
      <c r="F55">
        <f>12/1.35</f>
        <v>8.8888888888888875</v>
      </c>
      <c r="G55" t="s">
        <v>10</v>
      </c>
    </row>
    <row r="57" spans="1:7" x14ac:dyDescent="0.35">
      <c r="A57" t="s">
        <v>3955</v>
      </c>
      <c r="B57" t="s">
        <v>3956</v>
      </c>
      <c r="C57" t="s">
        <v>3957</v>
      </c>
      <c r="D57" t="s">
        <v>1067</v>
      </c>
      <c r="E57" t="s">
        <v>4</v>
      </c>
      <c r="F57">
        <f>137/14.5</f>
        <v>9.4482758620689662</v>
      </c>
      <c r="G57" t="s">
        <v>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0C8B5-3CF5-4D97-9A1B-6B3C609FAFDA}">
  <dimension ref="A1:G27"/>
  <sheetViews>
    <sheetView workbookViewId="0">
      <selection activeCell="A29" sqref="A29"/>
    </sheetView>
  </sheetViews>
  <sheetFormatPr defaultRowHeight="14.5" x14ac:dyDescent="0.35"/>
  <sheetData>
    <row r="1" spans="1:7" x14ac:dyDescent="0.35">
      <c r="A1" t="s">
        <v>1168</v>
      </c>
      <c r="B1" t="s">
        <v>850</v>
      </c>
      <c r="C1" t="s">
        <v>320</v>
      </c>
      <c r="D1" t="s">
        <v>321</v>
      </c>
      <c r="E1" t="s">
        <v>4</v>
      </c>
      <c r="F1">
        <f>1663/53</f>
        <v>31.377358490566039</v>
      </c>
      <c r="G1" t="s">
        <v>5</v>
      </c>
    </row>
    <row r="3" spans="1:7" x14ac:dyDescent="0.35">
      <c r="A3" t="s">
        <v>1179</v>
      </c>
      <c r="B3" t="s">
        <v>1046</v>
      </c>
      <c r="C3" t="s">
        <v>1180</v>
      </c>
      <c r="D3" t="s">
        <v>1181</v>
      </c>
      <c r="E3" t="s">
        <v>4</v>
      </c>
      <c r="F3">
        <f>53/1.5</f>
        <v>35.333333333333336</v>
      </c>
      <c r="G3" t="s">
        <v>5</v>
      </c>
    </row>
    <row r="5" spans="1:7" x14ac:dyDescent="0.35">
      <c r="A5" t="s">
        <v>1239</v>
      </c>
      <c r="B5" t="s">
        <v>1240</v>
      </c>
      <c r="C5" t="s">
        <v>1241</v>
      </c>
      <c r="D5" t="s">
        <v>1242</v>
      </c>
      <c r="E5" t="s">
        <v>4</v>
      </c>
      <c r="F5">
        <f>14500/107</f>
        <v>135.51401869158877</v>
      </c>
      <c r="G5" t="s">
        <v>597</v>
      </c>
    </row>
    <row r="7" spans="1:7" x14ac:dyDescent="0.35">
      <c r="A7" t="s">
        <v>1859</v>
      </c>
      <c r="B7" t="s">
        <v>1860</v>
      </c>
      <c r="C7" t="s">
        <v>1861</v>
      </c>
      <c r="D7" t="s">
        <v>309</v>
      </c>
      <c r="E7" t="s">
        <v>4</v>
      </c>
      <c r="F7">
        <f>398/17</f>
        <v>23.411764705882351</v>
      </c>
      <c r="G7" t="s">
        <v>5</v>
      </c>
    </row>
    <row r="9" spans="1:7" x14ac:dyDescent="0.35">
      <c r="A9" t="s">
        <v>2423</v>
      </c>
      <c r="B9" t="s">
        <v>2424</v>
      </c>
      <c r="C9" t="s">
        <v>2425</v>
      </c>
      <c r="D9" t="s">
        <v>160</v>
      </c>
      <c r="E9" t="s">
        <v>4</v>
      </c>
      <c r="F9">
        <f>220/3.2</f>
        <v>68.75</v>
      </c>
      <c r="G9" t="s">
        <v>5</v>
      </c>
    </row>
    <row r="11" spans="1:7" x14ac:dyDescent="0.35">
      <c r="A11" t="s">
        <v>2493</v>
      </c>
      <c r="B11" t="s">
        <v>2494</v>
      </c>
      <c r="C11" t="s">
        <v>2495</v>
      </c>
      <c r="D11" t="s">
        <v>287</v>
      </c>
      <c r="E11" t="s">
        <v>4</v>
      </c>
      <c r="F11">
        <f>673/12.5</f>
        <v>53.84</v>
      </c>
      <c r="G11" t="s">
        <v>5</v>
      </c>
    </row>
    <row r="13" spans="1:7" x14ac:dyDescent="0.35">
      <c r="A13" t="s">
        <v>3030</v>
      </c>
      <c r="B13" t="s">
        <v>2970</v>
      </c>
      <c r="C13" t="s">
        <v>3031</v>
      </c>
      <c r="D13" t="s">
        <v>827</v>
      </c>
      <c r="E13" t="s">
        <v>4</v>
      </c>
      <c r="F13">
        <f>300/33</f>
        <v>9.0909090909090917</v>
      </c>
      <c r="G13" t="s">
        <v>10</v>
      </c>
    </row>
    <row r="15" spans="1:7" x14ac:dyDescent="0.35">
      <c r="A15" t="s">
        <v>3183</v>
      </c>
      <c r="B15" t="s">
        <v>3184</v>
      </c>
      <c r="C15" t="s">
        <v>3185</v>
      </c>
      <c r="D15" t="s">
        <v>122</v>
      </c>
      <c r="E15" t="s">
        <v>4</v>
      </c>
      <c r="F15">
        <f>826/16</f>
        <v>51.625</v>
      </c>
      <c r="G15" t="s">
        <v>5</v>
      </c>
    </row>
    <row r="17" spans="1:7" x14ac:dyDescent="0.35">
      <c r="A17" t="s">
        <v>3304</v>
      </c>
      <c r="B17" t="s">
        <v>2596</v>
      </c>
      <c r="C17" t="s">
        <v>3305</v>
      </c>
      <c r="D17" t="s">
        <v>387</v>
      </c>
      <c r="E17" t="s">
        <v>4</v>
      </c>
      <c r="F17">
        <f>393/7</f>
        <v>56.142857142857146</v>
      </c>
      <c r="G17" t="s">
        <v>5</v>
      </c>
    </row>
    <row r="19" spans="1:7" x14ac:dyDescent="0.35">
      <c r="A19" t="s">
        <v>3403</v>
      </c>
      <c r="B19" t="s">
        <v>3404</v>
      </c>
      <c r="C19" t="s">
        <v>3405</v>
      </c>
      <c r="D19" t="s">
        <v>827</v>
      </c>
      <c r="E19" t="s">
        <v>4</v>
      </c>
      <c r="F19">
        <f>904/33</f>
        <v>27.393939393939394</v>
      </c>
      <c r="G19" t="s">
        <v>10</v>
      </c>
    </row>
    <row r="21" spans="1:7" x14ac:dyDescent="0.35">
      <c r="A21" t="s">
        <v>3704</v>
      </c>
      <c r="B21" t="s">
        <v>151</v>
      </c>
      <c r="C21" t="s">
        <v>1307</v>
      </c>
      <c r="D21" t="s">
        <v>27</v>
      </c>
      <c r="E21" t="s">
        <v>4</v>
      </c>
      <c r="F21">
        <f>590/35</f>
        <v>16.857142857142858</v>
      </c>
      <c r="G21" t="s">
        <v>10</v>
      </c>
    </row>
    <row r="23" spans="1:7" x14ac:dyDescent="0.35">
      <c r="A23" t="s">
        <v>3730</v>
      </c>
      <c r="B23" t="s">
        <v>3731</v>
      </c>
      <c r="C23" t="s">
        <v>3732</v>
      </c>
      <c r="D23" t="s">
        <v>144</v>
      </c>
      <c r="E23" t="s">
        <v>4</v>
      </c>
      <c r="F23">
        <f>1750/30</f>
        <v>58.333333333333336</v>
      </c>
      <c r="G23" t="s">
        <v>5</v>
      </c>
    </row>
    <row r="25" spans="1:7" x14ac:dyDescent="0.35">
      <c r="A25" t="s">
        <v>3973</v>
      </c>
      <c r="B25" t="s">
        <v>1845</v>
      </c>
      <c r="C25" t="s">
        <v>3418</v>
      </c>
      <c r="D25" t="s">
        <v>79</v>
      </c>
      <c r="E25" t="s">
        <v>4</v>
      </c>
      <c r="F25">
        <f>185/10</f>
        <v>18.5</v>
      </c>
      <c r="G25" t="s">
        <v>10</v>
      </c>
    </row>
    <row r="27" spans="1:7" x14ac:dyDescent="0.35">
      <c r="A27" t="s">
        <v>4248</v>
      </c>
      <c r="B27" t="s">
        <v>267</v>
      </c>
      <c r="C27" t="s">
        <v>2320</v>
      </c>
      <c r="D27" t="s">
        <v>2191</v>
      </c>
      <c r="E27" t="s">
        <v>4</v>
      </c>
      <c r="F27">
        <f>154/3.7</f>
        <v>41.621621621621621</v>
      </c>
      <c r="G27" t="s">
        <v>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0677-CC4D-4596-A101-6AC240858DEE}">
  <dimension ref="A1:G45"/>
  <sheetViews>
    <sheetView topLeftCell="A18" workbookViewId="0">
      <selection activeCell="A47" sqref="A47"/>
    </sheetView>
  </sheetViews>
  <sheetFormatPr defaultRowHeight="14.5" x14ac:dyDescent="0.35"/>
  <sheetData>
    <row r="1" spans="1:7" x14ac:dyDescent="0.35">
      <c r="A1" s="2" t="s">
        <v>64</v>
      </c>
      <c r="B1" s="2" t="s">
        <v>65</v>
      </c>
      <c r="C1" s="2" t="s">
        <v>66</v>
      </c>
      <c r="D1" s="2" t="s">
        <v>67</v>
      </c>
      <c r="E1" s="2" t="s">
        <v>4</v>
      </c>
      <c r="F1" s="2">
        <f>96/3.8</f>
        <v>25.263157894736842</v>
      </c>
      <c r="G1" s="2" t="s">
        <v>5</v>
      </c>
    </row>
    <row r="3" spans="1:7" x14ac:dyDescent="0.35">
      <c r="A3" t="s">
        <v>185</v>
      </c>
      <c r="B3" t="s">
        <v>186</v>
      </c>
      <c r="C3" t="s">
        <v>187</v>
      </c>
      <c r="D3" t="s">
        <v>188</v>
      </c>
      <c r="E3" t="s">
        <v>4</v>
      </c>
      <c r="F3">
        <f>30/3.5</f>
        <v>8.5714285714285712</v>
      </c>
      <c r="G3" t="s">
        <v>10</v>
      </c>
    </row>
    <row r="5" spans="1:7" x14ac:dyDescent="0.35">
      <c r="A5" t="s">
        <v>209</v>
      </c>
      <c r="B5" t="s">
        <v>210</v>
      </c>
      <c r="C5" t="s">
        <v>211</v>
      </c>
      <c r="D5" t="s">
        <v>23</v>
      </c>
      <c r="E5" t="s">
        <v>4</v>
      </c>
      <c r="F5">
        <f>245/21</f>
        <v>11.666666666666666</v>
      </c>
      <c r="G5" t="s">
        <v>10</v>
      </c>
    </row>
    <row r="7" spans="1:7" x14ac:dyDescent="0.35">
      <c r="A7" s="2" t="s">
        <v>434</v>
      </c>
      <c r="B7" s="2" t="s">
        <v>435</v>
      </c>
      <c r="C7" s="2" t="s">
        <v>436</v>
      </c>
      <c r="D7" s="2" t="s">
        <v>122</v>
      </c>
      <c r="E7" s="2" t="s">
        <v>4</v>
      </c>
      <c r="F7" s="2">
        <f>520/16</f>
        <v>32.5</v>
      </c>
      <c r="G7" s="2" t="s">
        <v>5</v>
      </c>
    </row>
    <row r="9" spans="1:7" x14ac:dyDescent="0.35">
      <c r="A9" t="s">
        <v>715</v>
      </c>
      <c r="B9" t="s">
        <v>385</v>
      </c>
      <c r="C9" t="s">
        <v>716</v>
      </c>
      <c r="D9" t="s">
        <v>717</v>
      </c>
      <c r="E9" t="s">
        <v>4</v>
      </c>
      <c r="F9">
        <f>85/5.6</f>
        <v>15.178571428571429</v>
      </c>
      <c r="G9" t="s">
        <v>10</v>
      </c>
    </row>
    <row r="11" spans="1:7" x14ac:dyDescent="0.35">
      <c r="A11" t="s">
        <v>982</v>
      </c>
      <c r="B11" t="s">
        <v>983</v>
      </c>
      <c r="C11" t="s">
        <v>88</v>
      </c>
      <c r="D11" t="s">
        <v>498</v>
      </c>
      <c r="E11" t="s">
        <v>4</v>
      </c>
      <c r="F11">
        <f>68/8</f>
        <v>8.5</v>
      </c>
      <c r="G11" t="s">
        <v>10</v>
      </c>
    </row>
    <row r="13" spans="1:7" x14ac:dyDescent="0.35">
      <c r="A13" t="s">
        <v>1045</v>
      </c>
      <c r="B13" t="s">
        <v>1046</v>
      </c>
      <c r="C13" t="s">
        <v>1047</v>
      </c>
      <c r="D13" t="s">
        <v>93</v>
      </c>
      <c r="E13" t="s">
        <v>4</v>
      </c>
      <c r="F13">
        <f>216/4.5</f>
        <v>48</v>
      </c>
      <c r="G13" t="s">
        <v>5</v>
      </c>
    </row>
    <row r="15" spans="1:7" x14ac:dyDescent="0.35">
      <c r="A15" t="s">
        <v>1094</v>
      </c>
      <c r="B15" t="s">
        <v>1000</v>
      </c>
      <c r="C15" t="s">
        <v>1095</v>
      </c>
      <c r="D15" t="s">
        <v>695</v>
      </c>
      <c r="E15" t="s">
        <v>4</v>
      </c>
      <c r="F15">
        <f>88/2</f>
        <v>44</v>
      </c>
    </row>
    <row r="17" spans="1:7" x14ac:dyDescent="0.35">
      <c r="A17" t="s">
        <v>1343</v>
      </c>
      <c r="B17" t="s">
        <v>1344</v>
      </c>
      <c r="C17" t="s">
        <v>1345</v>
      </c>
      <c r="D17" t="s">
        <v>1346</v>
      </c>
      <c r="E17" t="s">
        <v>4</v>
      </c>
      <c r="F17">
        <f>657/62</f>
        <v>10.596774193548388</v>
      </c>
      <c r="G17" t="s">
        <v>10</v>
      </c>
    </row>
    <row r="19" spans="1:7" x14ac:dyDescent="0.35">
      <c r="A19" t="s">
        <v>1429</v>
      </c>
      <c r="B19" t="s">
        <v>206</v>
      </c>
      <c r="C19" t="s">
        <v>1310</v>
      </c>
      <c r="D19" t="s">
        <v>258</v>
      </c>
      <c r="E19" t="s">
        <v>4</v>
      </c>
      <c r="F19">
        <f>79/5</f>
        <v>15.8</v>
      </c>
      <c r="G19" t="s">
        <v>597</v>
      </c>
    </row>
    <row r="21" spans="1:7" x14ac:dyDescent="0.35">
      <c r="A21" t="s">
        <v>1895</v>
      </c>
      <c r="B21" t="s">
        <v>1896</v>
      </c>
      <c r="C21" t="s">
        <v>1897</v>
      </c>
      <c r="D21" t="s">
        <v>153</v>
      </c>
      <c r="E21" t="s">
        <v>4</v>
      </c>
      <c r="F21">
        <f>243/25</f>
        <v>9.7200000000000006</v>
      </c>
      <c r="G21" t="s">
        <v>10</v>
      </c>
    </row>
    <row r="23" spans="1:7" x14ac:dyDescent="0.35">
      <c r="A23" t="s">
        <v>2049</v>
      </c>
      <c r="B23" t="s">
        <v>1820</v>
      </c>
      <c r="C23" t="s">
        <v>2050</v>
      </c>
      <c r="D23" t="s">
        <v>79</v>
      </c>
      <c r="E23" t="s">
        <v>4</v>
      </c>
      <c r="F23">
        <f>328/10</f>
        <v>32.799999999999997</v>
      </c>
      <c r="G23" t="s">
        <v>5</v>
      </c>
    </row>
    <row r="25" spans="1:7" x14ac:dyDescent="0.35">
      <c r="A25" t="s">
        <v>2206</v>
      </c>
      <c r="B25" t="s">
        <v>2207</v>
      </c>
      <c r="C25" t="s">
        <v>2208</v>
      </c>
      <c r="D25" t="s">
        <v>59</v>
      </c>
      <c r="E25" t="s">
        <v>4</v>
      </c>
      <c r="F25">
        <f>520/13</f>
        <v>40</v>
      </c>
      <c r="G25" t="s">
        <v>5</v>
      </c>
    </row>
    <row r="27" spans="1:7" x14ac:dyDescent="0.35">
      <c r="A27" t="s">
        <v>2441</v>
      </c>
      <c r="B27" t="s">
        <v>2442</v>
      </c>
      <c r="C27" t="s">
        <v>199</v>
      </c>
      <c r="D27" t="s">
        <v>613</v>
      </c>
      <c r="E27" t="s">
        <v>4</v>
      </c>
      <c r="F27">
        <f>535/40</f>
        <v>13.375</v>
      </c>
      <c r="G27" t="s">
        <v>10</v>
      </c>
    </row>
    <row r="29" spans="1:7" x14ac:dyDescent="0.35">
      <c r="A29" t="s">
        <v>2703</v>
      </c>
      <c r="B29" t="s">
        <v>2704</v>
      </c>
      <c r="C29" t="s">
        <v>22</v>
      </c>
      <c r="D29" t="s">
        <v>164</v>
      </c>
      <c r="E29" t="s">
        <v>4</v>
      </c>
      <c r="F29">
        <f>1026/25</f>
        <v>41.04</v>
      </c>
      <c r="G29" t="s">
        <v>10</v>
      </c>
    </row>
    <row r="31" spans="1:7" x14ac:dyDescent="0.35">
      <c r="A31" t="s">
        <v>2858</v>
      </c>
      <c r="B31" t="s">
        <v>2859</v>
      </c>
      <c r="C31" t="s">
        <v>2860</v>
      </c>
      <c r="D31" t="s">
        <v>1276</v>
      </c>
      <c r="E31" t="s">
        <v>4</v>
      </c>
      <c r="F31">
        <f>1060/150</f>
        <v>7.0666666666666664</v>
      </c>
      <c r="G31" t="s">
        <v>10</v>
      </c>
    </row>
    <row r="33" spans="1:7" x14ac:dyDescent="0.35">
      <c r="A33" t="s">
        <v>3026</v>
      </c>
      <c r="B33" t="s">
        <v>29</v>
      </c>
      <c r="C33" t="s">
        <v>3027</v>
      </c>
      <c r="D33" t="s">
        <v>387</v>
      </c>
      <c r="E33" t="s">
        <v>4</v>
      </c>
      <c r="F33">
        <f>93/7</f>
        <v>13.285714285714286</v>
      </c>
      <c r="G33" t="s">
        <v>10</v>
      </c>
    </row>
    <row r="35" spans="1:7" x14ac:dyDescent="0.35">
      <c r="A35" t="s">
        <v>3106</v>
      </c>
      <c r="B35" t="s">
        <v>3107</v>
      </c>
      <c r="C35" t="s">
        <v>3108</v>
      </c>
      <c r="D35" t="s">
        <v>134</v>
      </c>
      <c r="E35" t="s">
        <v>4</v>
      </c>
      <c r="F35">
        <f>211/12</f>
        <v>17.583333333333332</v>
      </c>
      <c r="G35" t="s">
        <v>10</v>
      </c>
    </row>
    <row r="37" spans="1:7" x14ac:dyDescent="0.35">
      <c r="A37" t="s">
        <v>3547</v>
      </c>
      <c r="B37" t="s">
        <v>3548</v>
      </c>
      <c r="C37" t="s">
        <v>3549</v>
      </c>
      <c r="D37" t="s">
        <v>258</v>
      </c>
      <c r="E37" t="s">
        <v>4</v>
      </c>
      <c r="F37">
        <f>410/5</f>
        <v>82</v>
      </c>
      <c r="G37" t="s">
        <v>5</v>
      </c>
    </row>
    <row r="39" spans="1:7" x14ac:dyDescent="0.35">
      <c r="A39" t="s">
        <v>3700</v>
      </c>
      <c r="B39" t="s">
        <v>1139</v>
      </c>
      <c r="C39" t="s">
        <v>563</v>
      </c>
      <c r="D39" t="s">
        <v>134</v>
      </c>
      <c r="E39" t="s">
        <v>4</v>
      </c>
      <c r="F39">
        <f>129/12</f>
        <v>10.75</v>
      </c>
      <c r="G39" t="s">
        <v>10</v>
      </c>
    </row>
    <row r="41" spans="1:7" x14ac:dyDescent="0.35">
      <c r="A41" t="s">
        <v>3899</v>
      </c>
      <c r="B41" t="s">
        <v>190</v>
      </c>
      <c r="C41" t="s">
        <v>3900</v>
      </c>
      <c r="D41" t="s">
        <v>79</v>
      </c>
      <c r="E41" t="s">
        <v>4</v>
      </c>
      <c r="F41">
        <f>64/10</f>
        <v>6.4</v>
      </c>
      <c r="G41" t="s">
        <v>10</v>
      </c>
    </row>
    <row r="43" spans="1:7" x14ac:dyDescent="0.35">
      <c r="A43" t="s">
        <v>4202</v>
      </c>
      <c r="B43" t="s">
        <v>1662</v>
      </c>
      <c r="C43" t="s">
        <v>4203</v>
      </c>
      <c r="D43" t="s">
        <v>280</v>
      </c>
      <c r="E43" t="s">
        <v>4</v>
      </c>
      <c r="F43">
        <f>248/20</f>
        <v>12.4</v>
      </c>
      <c r="G43" t="s">
        <v>10</v>
      </c>
    </row>
    <row r="45" spans="1:7" x14ac:dyDescent="0.35">
      <c r="A45" t="s">
        <v>4283</v>
      </c>
      <c r="B45" t="s">
        <v>551</v>
      </c>
      <c r="C45" t="s">
        <v>2410</v>
      </c>
      <c r="D45" t="s">
        <v>188</v>
      </c>
      <c r="E45" t="s">
        <v>4</v>
      </c>
      <c r="F45">
        <f>105/3.5</f>
        <v>30</v>
      </c>
      <c r="G45" t="s">
        <v>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16C51-1273-4B42-AF71-3B9E12C2F67A}">
  <dimension ref="A1:H184"/>
  <sheetViews>
    <sheetView topLeftCell="A157" workbookViewId="0">
      <selection activeCell="A186" sqref="A186"/>
    </sheetView>
  </sheetViews>
  <sheetFormatPr defaultRowHeight="14.5" x14ac:dyDescent="0.35"/>
  <sheetData>
    <row r="1" spans="1:8" x14ac:dyDescent="0.35">
      <c r="A1" s="2" t="s">
        <v>281</v>
      </c>
      <c r="B1" s="2" t="s">
        <v>282</v>
      </c>
      <c r="C1" s="2" t="s">
        <v>283</v>
      </c>
      <c r="D1" s="2" t="s">
        <v>188</v>
      </c>
      <c r="E1" s="2" t="s">
        <v>4</v>
      </c>
      <c r="F1" s="2">
        <f>240/3.5</f>
        <v>68.571428571428569</v>
      </c>
      <c r="G1" s="2" t="s">
        <v>5</v>
      </c>
    </row>
    <row r="3" spans="1:8" x14ac:dyDescent="0.35">
      <c r="A3" t="s">
        <v>329</v>
      </c>
      <c r="B3" t="s">
        <v>296</v>
      </c>
      <c r="C3" t="s">
        <v>330</v>
      </c>
      <c r="D3" t="s">
        <v>309</v>
      </c>
      <c r="E3" t="s">
        <v>4</v>
      </c>
      <c r="F3">
        <f>155/17</f>
        <v>9.117647058823529</v>
      </c>
      <c r="G3" t="s">
        <v>331</v>
      </c>
    </row>
    <row r="5" spans="1:8" x14ac:dyDescent="0.35">
      <c r="A5" s="2" t="s">
        <v>381</v>
      </c>
      <c r="B5" s="2" t="s">
        <v>382</v>
      </c>
      <c r="C5" s="2" t="s">
        <v>472</v>
      </c>
      <c r="D5" s="2" t="s">
        <v>383</v>
      </c>
      <c r="E5" s="2" t="s">
        <v>4</v>
      </c>
      <c r="F5" s="2">
        <f>86/3.6</f>
        <v>23.888888888888889</v>
      </c>
      <c r="G5" s="2" t="s">
        <v>5</v>
      </c>
    </row>
    <row r="7" spans="1:8" x14ac:dyDescent="0.35">
      <c r="A7" s="2" t="s">
        <v>445</v>
      </c>
      <c r="B7" s="2" t="s">
        <v>446</v>
      </c>
      <c r="C7" s="2" t="s">
        <v>471</v>
      </c>
      <c r="D7" s="2" t="s">
        <v>229</v>
      </c>
      <c r="E7" s="2" t="s">
        <v>4</v>
      </c>
      <c r="F7" s="2">
        <f>660/31</f>
        <v>21.29032258064516</v>
      </c>
      <c r="G7" s="2" t="s">
        <v>5</v>
      </c>
    </row>
    <row r="9" spans="1:8" x14ac:dyDescent="0.35">
      <c r="A9" s="2" t="s">
        <v>468</v>
      </c>
      <c r="B9" s="2" t="s">
        <v>469</v>
      </c>
      <c r="C9" s="2" t="s">
        <v>470</v>
      </c>
      <c r="D9" s="2" t="s">
        <v>473</v>
      </c>
      <c r="E9" s="2" t="s">
        <v>4</v>
      </c>
      <c r="F9" s="2">
        <f>299/9.8</f>
        <v>30.510204081632651</v>
      </c>
      <c r="G9" s="2" t="s">
        <v>5</v>
      </c>
      <c r="H9" s="2" t="s">
        <v>474</v>
      </c>
    </row>
    <row r="11" spans="1:8" x14ac:dyDescent="0.35">
      <c r="A11" t="s">
        <v>516</v>
      </c>
      <c r="B11" t="s">
        <v>364</v>
      </c>
      <c r="C11" t="s">
        <v>517</v>
      </c>
      <c r="D11" t="s">
        <v>59</v>
      </c>
      <c r="E11" t="s">
        <v>4</v>
      </c>
      <c r="F11">
        <f>262/13</f>
        <v>20.153846153846153</v>
      </c>
      <c r="G11" t="s">
        <v>10</v>
      </c>
    </row>
    <row r="13" spans="1:8" x14ac:dyDescent="0.35">
      <c r="A13" t="s">
        <v>623</v>
      </c>
      <c r="B13" t="s">
        <v>624</v>
      </c>
      <c r="C13" t="s">
        <v>625</v>
      </c>
      <c r="D13" t="s">
        <v>626</v>
      </c>
      <c r="E13" t="s">
        <v>4</v>
      </c>
      <c r="F13">
        <f>750/39</f>
        <v>19.23076923076923</v>
      </c>
      <c r="G13" t="s">
        <v>5</v>
      </c>
    </row>
    <row r="15" spans="1:8" x14ac:dyDescent="0.35">
      <c r="A15" t="s">
        <v>646</v>
      </c>
      <c r="B15" t="s">
        <v>29</v>
      </c>
      <c r="C15" t="s">
        <v>30</v>
      </c>
    </row>
    <row r="17" spans="1:7" x14ac:dyDescent="0.35">
      <c r="A17" t="s">
        <v>671</v>
      </c>
      <c r="B17" t="s">
        <v>672</v>
      </c>
      <c r="C17" t="s">
        <v>673</v>
      </c>
      <c r="D17" t="s">
        <v>321</v>
      </c>
      <c r="E17" t="s">
        <v>4</v>
      </c>
      <c r="F17">
        <f>1554/53</f>
        <v>29.320754716981131</v>
      </c>
      <c r="G17" t="s">
        <v>5</v>
      </c>
    </row>
    <row r="19" spans="1:7" x14ac:dyDescent="0.35">
      <c r="A19" t="s">
        <v>699</v>
      </c>
      <c r="B19" t="s">
        <v>700</v>
      </c>
      <c r="C19" t="s">
        <v>701</v>
      </c>
      <c r="D19" t="s">
        <v>141</v>
      </c>
      <c r="E19" t="s">
        <v>4</v>
      </c>
      <c r="F19">
        <f>4044/68</f>
        <v>59.470588235294116</v>
      </c>
      <c r="G19" t="s">
        <v>5</v>
      </c>
    </row>
    <row r="21" spans="1:7" x14ac:dyDescent="0.35">
      <c r="A21" t="s">
        <v>706</v>
      </c>
      <c r="B21" t="s">
        <v>453</v>
      </c>
      <c r="C21" t="s">
        <v>707</v>
      </c>
      <c r="D21" t="s">
        <v>708</v>
      </c>
      <c r="E21" t="s">
        <v>4</v>
      </c>
      <c r="F21">
        <f>186/11.7</f>
        <v>15.897435897435898</v>
      </c>
      <c r="G21" t="s">
        <v>10</v>
      </c>
    </row>
    <row r="23" spans="1:7" x14ac:dyDescent="0.35">
      <c r="A23" t="s">
        <v>718</v>
      </c>
      <c r="B23" t="s">
        <v>719</v>
      </c>
      <c r="C23" t="s">
        <v>720</v>
      </c>
      <c r="D23" t="s">
        <v>294</v>
      </c>
      <c r="E23" t="s">
        <v>4</v>
      </c>
      <c r="F23">
        <f>1950/42</f>
        <v>46.428571428571431</v>
      </c>
      <c r="G23" t="s">
        <v>5</v>
      </c>
    </row>
    <row r="25" spans="1:7" x14ac:dyDescent="0.35">
      <c r="A25" t="s">
        <v>879</v>
      </c>
      <c r="B25" t="s">
        <v>880</v>
      </c>
      <c r="C25" t="s">
        <v>881</v>
      </c>
      <c r="D25" t="s">
        <v>494</v>
      </c>
      <c r="E25" t="s">
        <v>4</v>
      </c>
      <c r="F25">
        <f>1170/34</f>
        <v>34.411764705882355</v>
      </c>
      <c r="G25" t="s">
        <v>5</v>
      </c>
    </row>
    <row r="27" spans="1:7" x14ac:dyDescent="0.35">
      <c r="A27" t="s">
        <v>915</v>
      </c>
      <c r="B27" t="s">
        <v>916</v>
      </c>
      <c r="C27" t="s">
        <v>917</v>
      </c>
      <c r="D27" t="s">
        <v>338</v>
      </c>
      <c r="E27" t="s">
        <v>4</v>
      </c>
      <c r="F27">
        <f>350/7.8</f>
        <v>44.871794871794876</v>
      </c>
      <c r="G27" t="s">
        <v>5</v>
      </c>
    </row>
    <row r="29" spans="1:7" x14ac:dyDescent="0.35">
      <c r="A29" t="s">
        <v>935</v>
      </c>
      <c r="B29" t="s">
        <v>936</v>
      </c>
      <c r="C29" t="s">
        <v>937</v>
      </c>
      <c r="D29" t="s">
        <v>938</v>
      </c>
      <c r="E29" t="s">
        <v>4</v>
      </c>
      <c r="F29">
        <f>76/2.4</f>
        <v>31.666666666666668</v>
      </c>
      <c r="G29" t="s">
        <v>5</v>
      </c>
    </row>
    <row r="31" spans="1:7" x14ac:dyDescent="0.35">
      <c r="A31" t="s">
        <v>946</v>
      </c>
      <c r="B31" t="s">
        <v>790</v>
      </c>
      <c r="C31" t="s">
        <v>947</v>
      </c>
      <c r="D31" t="s">
        <v>27</v>
      </c>
      <c r="E31" t="s">
        <v>4</v>
      </c>
      <c r="F31">
        <f>780/35</f>
        <v>22.285714285714285</v>
      </c>
      <c r="G31" t="s">
        <v>5</v>
      </c>
    </row>
    <row r="33" spans="1:7" x14ac:dyDescent="0.35">
      <c r="A33" t="s">
        <v>1136</v>
      </c>
      <c r="B33" t="s">
        <v>745</v>
      </c>
      <c r="C33" t="s">
        <v>1137</v>
      </c>
      <c r="D33" t="s">
        <v>265</v>
      </c>
      <c r="E33" t="s">
        <v>4</v>
      </c>
      <c r="F33">
        <f>1257/45</f>
        <v>27.933333333333334</v>
      </c>
      <c r="G33" t="s">
        <v>5</v>
      </c>
    </row>
    <row r="35" spans="1:7" x14ac:dyDescent="0.35">
      <c r="A35" t="s">
        <v>1327</v>
      </c>
      <c r="B35" t="s">
        <v>1328</v>
      </c>
      <c r="C35" t="s">
        <v>726</v>
      </c>
      <c r="D35" t="s">
        <v>269</v>
      </c>
      <c r="E35" t="s">
        <v>4</v>
      </c>
      <c r="F35">
        <f>39/3</f>
        <v>13</v>
      </c>
      <c r="G35" t="s">
        <v>10</v>
      </c>
    </row>
    <row r="37" spans="1:7" x14ac:dyDescent="0.35">
      <c r="A37" t="s">
        <v>1396</v>
      </c>
      <c r="B37" t="s">
        <v>1397</v>
      </c>
      <c r="C37" t="s">
        <v>1398</v>
      </c>
      <c r="D37" t="s">
        <v>494</v>
      </c>
      <c r="E37" t="s">
        <v>4</v>
      </c>
      <c r="F37">
        <f>450/34</f>
        <v>13.235294117647058</v>
      </c>
      <c r="G37" t="s">
        <v>10</v>
      </c>
    </row>
    <row r="39" spans="1:7" x14ac:dyDescent="0.35">
      <c r="A39" t="s">
        <v>1416</v>
      </c>
      <c r="B39" t="s">
        <v>1417</v>
      </c>
      <c r="C39" t="s">
        <v>1418</v>
      </c>
      <c r="D39" t="s">
        <v>1245</v>
      </c>
      <c r="E39" t="s">
        <v>4</v>
      </c>
      <c r="F39">
        <f>760/38</f>
        <v>20</v>
      </c>
      <c r="G39" t="s">
        <v>5</v>
      </c>
    </row>
    <row r="41" spans="1:7" x14ac:dyDescent="0.35">
      <c r="A41" t="s">
        <v>1437</v>
      </c>
      <c r="B41" t="s">
        <v>1438</v>
      </c>
      <c r="C41" t="s">
        <v>1439</v>
      </c>
      <c r="D41" t="s">
        <v>419</v>
      </c>
      <c r="E41" t="s">
        <v>4</v>
      </c>
      <c r="F41">
        <f>520/37</f>
        <v>14.054054054054054</v>
      </c>
      <c r="G41" t="s">
        <v>10</v>
      </c>
    </row>
    <row r="43" spans="1:7" x14ac:dyDescent="0.35">
      <c r="A43" t="s">
        <v>1447</v>
      </c>
      <c r="B43" t="s">
        <v>29</v>
      </c>
      <c r="C43" t="s">
        <v>30</v>
      </c>
    </row>
    <row r="45" spans="1:7" x14ac:dyDescent="0.35">
      <c r="A45" t="s">
        <v>1455</v>
      </c>
      <c r="B45" t="s">
        <v>1271</v>
      </c>
      <c r="C45" t="s">
        <v>1456</v>
      </c>
      <c r="D45" t="s">
        <v>1457</v>
      </c>
      <c r="E45" t="s">
        <v>4</v>
      </c>
      <c r="F45">
        <f>129/13.5</f>
        <v>9.5555555555555554</v>
      </c>
      <c r="G45" t="s">
        <v>10</v>
      </c>
    </row>
    <row r="47" spans="1:7" x14ac:dyDescent="0.35">
      <c r="A47" t="s">
        <v>1473</v>
      </c>
      <c r="B47" t="s">
        <v>1474</v>
      </c>
      <c r="C47" t="s">
        <v>403</v>
      </c>
      <c r="D47" t="s">
        <v>178</v>
      </c>
      <c r="E47" t="s">
        <v>4</v>
      </c>
      <c r="F47">
        <f>407/15</f>
        <v>27.133333333333333</v>
      </c>
      <c r="G47" t="s">
        <v>1255</v>
      </c>
    </row>
    <row r="49" spans="1:7" x14ac:dyDescent="0.35">
      <c r="A49" t="s">
        <v>1608</v>
      </c>
      <c r="B49" t="s">
        <v>296</v>
      </c>
      <c r="C49" t="s">
        <v>1545</v>
      </c>
      <c r="D49" t="s">
        <v>366</v>
      </c>
      <c r="E49" t="s">
        <v>4</v>
      </c>
      <c r="F49">
        <f>175/14</f>
        <v>12.5</v>
      </c>
      <c r="G49" t="s">
        <v>10</v>
      </c>
    </row>
    <row r="50" spans="1:7" x14ac:dyDescent="0.35">
      <c r="D50" t="s">
        <v>1609</v>
      </c>
      <c r="F50">
        <f>175/20</f>
        <v>8.75</v>
      </c>
      <c r="G50" t="s">
        <v>10</v>
      </c>
    </row>
    <row r="52" spans="1:7" x14ac:dyDescent="0.35">
      <c r="A52" t="s">
        <v>1616</v>
      </c>
      <c r="B52" t="s">
        <v>296</v>
      </c>
      <c r="C52" t="s">
        <v>1617</v>
      </c>
      <c r="D52" t="s">
        <v>122</v>
      </c>
      <c r="E52" t="s">
        <v>4</v>
      </c>
      <c r="F52">
        <f>286/16</f>
        <v>17.875</v>
      </c>
      <c r="G52" t="s">
        <v>5</v>
      </c>
    </row>
    <row r="54" spans="1:7" x14ac:dyDescent="0.35">
      <c r="A54" t="s">
        <v>1630</v>
      </c>
      <c r="B54" t="s">
        <v>1631</v>
      </c>
      <c r="C54" t="s">
        <v>1632</v>
      </c>
      <c r="D54" t="s">
        <v>229</v>
      </c>
      <c r="E54" t="s">
        <v>4</v>
      </c>
      <c r="F54">
        <f>385/31</f>
        <v>12.419354838709678</v>
      </c>
      <c r="G54" t="s">
        <v>10</v>
      </c>
    </row>
    <row r="56" spans="1:7" x14ac:dyDescent="0.35">
      <c r="A56" t="s">
        <v>1649</v>
      </c>
      <c r="B56" t="s">
        <v>1650</v>
      </c>
      <c r="C56" t="s">
        <v>1651</v>
      </c>
      <c r="D56" t="s">
        <v>164</v>
      </c>
      <c r="E56" t="s">
        <v>4</v>
      </c>
      <c r="F56">
        <f>1132/25</f>
        <v>45.28</v>
      </c>
      <c r="G56" t="s">
        <v>5</v>
      </c>
    </row>
    <row r="58" spans="1:7" x14ac:dyDescent="0.35">
      <c r="A58" t="s">
        <v>1673</v>
      </c>
      <c r="B58" t="s">
        <v>1674</v>
      </c>
      <c r="C58" t="s">
        <v>1675</v>
      </c>
      <c r="D58" t="s">
        <v>247</v>
      </c>
      <c r="E58" t="s">
        <v>4</v>
      </c>
      <c r="F58">
        <f>185/8.5</f>
        <v>21.764705882352942</v>
      </c>
      <c r="G58" t="s">
        <v>5</v>
      </c>
    </row>
    <row r="60" spans="1:7" x14ac:dyDescent="0.35">
      <c r="A60" t="s">
        <v>1712</v>
      </c>
      <c r="B60" t="s">
        <v>1713</v>
      </c>
      <c r="C60" t="s">
        <v>1342</v>
      </c>
      <c r="D60" t="s">
        <v>247</v>
      </c>
      <c r="E60" t="s">
        <v>4</v>
      </c>
      <c r="F60">
        <f>128/8.5</f>
        <v>15.058823529411764</v>
      </c>
      <c r="G60" t="s">
        <v>1714</v>
      </c>
    </row>
    <row r="62" spans="1:7" x14ac:dyDescent="0.35">
      <c r="A62" t="s">
        <v>1740</v>
      </c>
      <c r="B62" t="s">
        <v>1741</v>
      </c>
      <c r="C62" t="s">
        <v>1175</v>
      </c>
      <c r="D62" t="s">
        <v>1742</v>
      </c>
      <c r="E62" t="s">
        <v>4</v>
      </c>
      <c r="F62">
        <f>1006/203</f>
        <v>4.9556650246305418</v>
      </c>
      <c r="G62" t="s">
        <v>10</v>
      </c>
    </row>
    <row r="64" spans="1:7" x14ac:dyDescent="0.35">
      <c r="A64" t="s">
        <v>1751</v>
      </c>
      <c r="B64" t="s">
        <v>1752</v>
      </c>
      <c r="C64" t="s">
        <v>1753</v>
      </c>
      <c r="D64" t="s">
        <v>219</v>
      </c>
      <c r="E64" t="s">
        <v>4</v>
      </c>
      <c r="F64">
        <f>150/5.5</f>
        <v>27.272727272727273</v>
      </c>
      <c r="G64" t="s">
        <v>5</v>
      </c>
    </row>
    <row r="66" spans="1:7" x14ac:dyDescent="0.35">
      <c r="A66" t="s">
        <v>1780</v>
      </c>
      <c r="B66" t="s">
        <v>69</v>
      </c>
      <c r="C66" t="s">
        <v>1781</v>
      </c>
      <c r="D66" t="s">
        <v>626</v>
      </c>
      <c r="E66" t="s">
        <v>4</v>
      </c>
      <c r="F66">
        <f>510/39</f>
        <v>13.076923076923077</v>
      </c>
      <c r="G66" t="s">
        <v>10</v>
      </c>
    </row>
    <row r="68" spans="1:7" x14ac:dyDescent="0.35">
      <c r="A68" s="1" t="s">
        <v>1807</v>
      </c>
      <c r="B68" s="1" t="s">
        <v>1014</v>
      </c>
      <c r="C68" s="1" t="s">
        <v>1808</v>
      </c>
      <c r="D68" s="1" t="s">
        <v>287</v>
      </c>
      <c r="E68" s="1" t="s">
        <v>4</v>
      </c>
      <c r="F68" s="1">
        <f>153/12.5</f>
        <v>12.24</v>
      </c>
      <c r="G68" s="1" t="s">
        <v>10</v>
      </c>
    </row>
    <row r="70" spans="1:7" x14ac:dyDescent="0.35">
      <c r="A70" t="s">
        <v>1809</v>
      </c>
      <c r="B70" t="s">
        <v>1810</v>
      </c>
      <c r="C70" t="s">
        <v>1047</v>
      </c>
      <c r="D70" t="s">
        <v>741</v>
      </c>
      <c r="E70" t="s">
        <v>4</v>
      </c>
      <c r="F70">
        <f>91/4.1</f>
        <v>22.195121951219512</v>
      </c>
      <c r="G70" t="s">
        <v>5</v>
      </c>
    </row>
    <row r="72" spans="1:7" x14ac:dyDescent="0.35">
      <c r="A72" t="s">
        <v>1868</v>
      </c>
      <c r="B72" t="s">
        <v>1869</v>
      </c>
      <c r="C72" t="s">
        <v>801</v>
      </c>
      <c r="D72" t="s">
        <v>1870</v>
      </c>
      <c r="E72" t="s">
        <v>4</v>
      </c>
      <c r="F72">
        <f>200/13.7</f>
        <v>14.598540145985401</v>
      </c>
      <c r="G72" t="s">
        <v>10</v>
      </c>
    </row>
    <row r="74" spans="1:7" x14ac:dyDescent="0.35">
      <c r="A74" t="s">
        <v>2066</v>
      </c>
      <c r="B74" t="s">
        <v>2067</v>
      </c>
      <c r="C74" t="s">
        <v>2068</v>
      </c>
      <c r="D74" t="s">
        <v>119</v>
      </c>
      <c r="E74" t="s">
        <v>4</v>
      </c>
      <c r="F74">
        <f>700/59</f>
        <v>11.864406779661017</v>
      </c>
      <c r="G74" t="s">
        <v>10</v>
      </c>
    </row>
    <row r="76" spans="1:7" x14ac:dyDescent="0.35">
      <c r="A76" s="1" t="s">
        <v>2105</v>
      </c>
      <c r="B76" s="1" t="s">
        <v>2106</v>
      </c>
      <c r="C76" s="1" t="s">
        <v>2107</v>
      </c>
      <c r="D76" s="1" t="s">
        <v>1167</v>
      </c>
      <c r="E76" s="1" t="s">
        <v>4</v>
      </c>
      <c r="F76" s="1">
        <f>1169/63</f>
        <v>18.555555555555557</v>
      </c>
      <c r="G76" s="1" t="s">
        <v>10</v>
      </c>
    </row>
    <row r="78" spans="1:7" x14ac:dyDescent="0.35">
      <c r="A78" t="s">
        <v>281</v>
      </c>
      <c r="B78" t="s">
        <v>2139</v>
      </c>
      <c r="C78" t="s">
        <v>1379</v>
      </c>
      <c r="D78" t="s">
        <v>178</v>
      </c>
      <c r="E78" t="s">
        <v>4</v>
      </c>
      <c r="F78">
        <f>228/15</f>
        <v>15.2</v>
      </c>
      <c r="G78" t="s">
        <v>10</v>
      </c>
    </row>
    <row r="80" spans="1:7" x14ac:dyDescent="0.35">
      <c r="A80" t="s">
        <v>2167</v>
      </c>
      <c r="B80" t="s">
        <v>45</v>
      </c>
      <c r="C80" t="s">
        <v>2168</v>
      </c>
      <c r="D80" t="s">
        <v>178</v>
      </c>
      <c r="E80" t="s">
        <v>4</v>
      </c>
      <c r="F80">
        <f>309/15</f>
        <v>20.6</v>
      </c>
      <c r="G80" t="s">
        <v>10</v>
      </c>
    </row>
    <row r="82" spans="1:7" x14ac:dyDescent="0.35">
      <c r="A82" t="s">
        <v>2252</v>
      </c>
      <c r="B82" t="s">
        <v>808</v>
      </c>
      <c r="C82" t="s">
        <v>563</v>
      </c>
      <c r="D82" t="s">
        <v>192</v>
      </c>
      <c r="E82" t="s">
        <v>4</v>
      </c>
      <c r="F82">
        <f>494/11</f>
        <v>44.909090909090907</v>
      </c>
      <c r="G82" t="s">
        <v>5</v>
      </c>
    </row>
    <row r="84" spans="1:7" x14ac:dyDescent="0.35">
      <c r="A84" t="s">
        <v>2323</v>
      </c>
      <c r="B84" t="s">
        <v>2324</v>
      </c>
      <c r="C84" t="s">
        <v>2325</v>
      </c>
      <c r="D84" t="s">
        <v>63</v>
      </c>
      <c r="E84" t="s">
        <v>4</v>
      </c>
      <c r="F84">
        <f>3250/60</f>
        <v>54.166666666666664</v>
      </c>
      <c r="G84" t="s">
        <v>2326</v>
      </c>
    </row>
    <row r="86" spans="1:7" x14ac:dyDescent="0.35">
      <c r="A86" t="s">
        <v>2347</v>
      </c>
      <c r="B86" t="s">
        <v>2348</v>
      </c>
      <c r="C86" t="s">
        <v>78</v>
      </c>
      <c r="D86" t="s">
        <v>2349</v>
      </c>
      <c r="E86" t="s">
        <v>4</v>
      </c>
      <c r="F86">
        <f>59/5.25</f>
        <v>11.238095238095237</v>
      </c>
      <c r="G86" t="s">
        <v>10</v>
      </c>
    </row>
    <row r="88" spans="1:7" x14ac:dyDescent="0.35">
      <c r="A88" t="s">
        <v>2368</v>
      </c>
      <c r="B88" t="s">
        <v>2369</v>
      </c>
      <c r="C88" t="s">
        <v>22</v>
      </c>
      <c r="D88" t="s">
        <v>280</v>
      </c>
      <c r="E88" t="s">
        <v>4</v>
      </c>
      <c r="F88">
        <f>586/20</f>
        <v>29.3</v>
      </c>
      <c r="G88" t="s">
        <v>5</v>
      </c>
    </row>
    <row r="90" spans="1:7" x14ac:dyDescent="0.35">
      <c r="A90" t="s">
        <v>2389</v>
      </c>
      <c r="B90" t="s">
        <v>1960</v>
      </c>
      <c r="C90" t="s">
        <v>1919</v>
      </c>
      <c r="D90" t="s">
        <v>134</v>
      </c>
      <c r="E90" t="s">
        <v>4</v>
      </c>
      <c r="F90">
        <f>141/12</f>
        <v>11.75</v>
      </c>
      <c r="G90" t="s">
        <v>10</v>
      </c>
    </row>
    <row r="92" spans="1:7" x14ac:dyDescent="0.35">
      <c r="A92" t="s">
        <v>2443</v>
      </c>
      <c r="B92" t="s">
        <v>1309</v>
      </c>
      <c r="C92" t="s">
        <v>2444</v>
      </c>
      <c r="D92" t="s">
        <v>247</v>
      </c>
      <c r="E92" t="s">
        <v>4</v>
      </c>
      <c r="F92">
        <f>197/8.5</f>
        <v>23.176470588235293</v>
      </c>
      <c r="G92" t="s">
        <v>5</v>
      </c>
    </row>
    <row r="94" spans="1:7" x14ac:dyDescent="0.35">
      <c r="A94" t="s">
        <v>2463</v>
      </c>
      <c r="B94" t="s">
        <v>2464</v>
      </c>
      <c r="C94" t="s">
        <v>2090</v>
      </c>
      <c r="D94" t="s">
        <v>1105</v>
      </c>
      <c r="E94" t="s">
        <v>4</v>
      </c>
      <c r="F94">
        <f>2000/80</f>
        <v>25</v>
      </c>
      <c r="G94" t="s">
        <v>10</v>
      </c>
    </row>
    <row r="96" spans="1:7" x14ac:dyDescent="0.35">
      <c r="A96" t="s">
        <v>2497</v>
      </c>
      <c r="B96" t="s">
        <v>2498</v>
      </c>
      <c r="C96" t="s">
        <v>2499</v>
      </c>
      <c r="D96" t="s">
        <v>134</v>
      </c>
      <c r="E96" t="s">
        <v>4</v>
      </c>
      <c r="F96">
        <f>250/12</f>
        <v>20.833333333333332</v>
      </c>
      <c r="G96" t="s">
        <v>5</v>
      </c>
    </row>
    <row r="98" spans="1:7" x14ac:dyDescent="0.35">
      <c r="A98" t="s">
        <v>2683</v>
      </c>
      <c r="B98" t="s">
        <v>136</v>
      </c>
      <c r="C98" t="s">
        <v>2068</v>
      </c>
      <c r="D98" t="s">
        <v>63</v>
      </c>
      <c r="E98" t="s">
        <v>4</v>
      </c>
      <c r="F98">
        <f>572/60</f>
        <v>9.5333333333333332</v>
      </c>
      <c r="G98" t="s">
        <v>10</v>
      </c>
    </row>
    <row r="100" spans="1:7" x14ac:dyDescent="0.35">
      <c r="A100" t="s">
        <v>2692</v>
      </c>
      <c r="B100" t="s">
        <v>2693</v>
      </c>
      <c r="C100" t="s">
        <v>2694</v>
      </c>
      <c r="D100" t="s">
        <v>961</v>
      </c>
      <c r="E100" t="s">
        <v>4</v>
      </c>
      <c r="F100">
        <f>1400/83</f>
        <v>16.867469879518072</v>
      </c>
      <c r="G100" t="s">
        <v>10</v>
      </c>
    </row>
    <row r="102" spans="1:7" x14ac:dyDescent="0.35">
      <c r="A102" t="s">
        <v>2718</v>
      </c>
      <c r="B102" t="s">
        <v>2719</v>
      </c>
      <c r="C102" t="s">
        <v>2720</v>
      </c>
      <c r="D102" t="s">
        <v>229</v>
      </c>
      <c r="E102" t="s">
        <v>4</v>
      </c>
      <c r="F102">
        <f>583/31</f>
        <v>18.806451612903224</v>
      </c>
      <c r="G102" t="s">
        <v>5</v>
      </c>
    </row>
    <row r="104" spans="1:7" x14ac:dyDescent="0.35">
      <c r="A104" t="s">
        <v>2805</v>
      </c>
      <c r="B104" t="s">
        <v>2806</v>
      </c>
      <c r="C104" t="s">
        <v>995</v>
      </c>
      <c r="D104" t="s">
        <v>86</v>
      </c>
      <c r="E104" t="s">
        <v>4</v>
      </c>
      <c r="F104">
        <f>448/22</f>
        <v>20.363636363636363</v>
      </c>
      <c r="G104" t="s">
        <v>10</v>
      </c>
    </row>
    <row r="106" spans="1:7" x14ac:dyDescent="0.35">
      <c r="A106" t="s">
        <v>2835</v>
      </c>
      <c r="B106" t="s">
        <v>734</v>
      </c>
      <c r="C106" t="s">
        <v>1231</v>
      </c>
      <c r="D106" t="s">
        <v>536</v>
      </c>
      <c r="E106" t="s">
        <v>4</v>
      </c>
      <c r="F106">
        <f>2100/50</f>
        <v>42</v>
      </c>
      <c r="G106" t="s">
        <v>5</v>
      </c>
    </row>
    <row r="108" spans="1:7" x14ac:dyDescent="0.35">
      <c r="A108" t="s">
        <v>2848</v>
      </c>
      <c r="B108" t="s">
        <v>2849</v>
      </c>
      <c r="C108" t="s">
        <v>2850</v>
      </c>
      <c r="D108" t="s">
        <v>2851</v>
      </c>
      <c r="E108" t="s">
        <v>4</v>
      </c>
      <c r="F108">
        <f>13500/400</f>
        <v>33.75</v>
      </c>
      <c r="G108" t="s">
        <v>5</v>
      </c>
    </row>
    <row r="110" spans="1:7" x14ac:dyDescent="0.35">
      <c r="A110" t="s">
        <v>2902</v>
      </c>
      <c r="B110" t="s">
        <v>385</v>
      </c>
      <c r="C110" t="s">
        <v>990</v>
      </c>
      <c r="D110" t="s">
        <v>79</v>
      </c>
      <c r="E110" t="s">
        <v>4</v>
      </c>
      <c r="F110">
        <f>600/10</f>
        <v>60</v>
      </c>
      <c r="G110" t="s">
        <v>5</v>
      </c>
    </row>
    <row r="112" spans="1:7" x14ac:dyDescent="0.35">
      <c r="A112" t="s">
        <v>2916</v>
      </c>
      <c r="B112" t="s">
        <v>1019</v>
      </c>
      <c r="C112" t="s">
        <v>2917</v>
      </c>
      <c r="D112" t="s">
        <v>1002</v>
      </c>
      <c r="E112" t="s">
        <v>4</v>
      </c>
      <c r="F112">
        <f>161/7.5</f>
        <v>21.466666666666665</v>
      </c>
      <c r="G112" t="s">
        <v>5</v>
      </c>
    </row>
    <row r="114" spans="1:7" x14ac:dyDescent="0.35">
      <c r="A114" t="s">
        <v>2922</v>
      </c>
      <c r="B114" t="s">
        <v>2923</v>
      </c>
      <c r="C114" t="s">
        <v>2924</v>
      </c>
      <c r="D114" t="s">
        <v>164</v>
      </c>
      <c r="E114" t="s">
        <v>4</v>
      </c>
      <c r="F114">
        <f>384/25</f>
        <v>15.36</v>
      </c>
      <c r="G114" t="s">
        <v>10</v>
      </c>
    </row>
    <row r="116" spans="1:7" x14ac:dyDescent="0.35">
      <c r="A116" t="s">
        <v>2947</v>
      </c>
      <c r="B116" t="s">
        <v>648</v>
      </c>
      <c r="C116" t="s">
        <v>2948</v>
      </c>
      <c r="D116" t="s">
        <v>2191</v>
      </c>
      <c r="E116" t="s">
        <v>4</v>
      </c>
      <c r="F116">
        <f>59/3.7</f>
        <v>15.945945945945946</v>
      </c>
      <c r="G116" t="s">
        <v>10</v>
      </c>
    </row>
    <row r="118" spans="1:7" x14ac:dyDescent="0.35">
      <c r="A118" t="s">
        <v>2974</v>
      </c>
      <c r="B118" t="s">
        <v>1958</v>
      </c>
      <c r="C118" t="s">
        <v>2975</v>
      </c>
      <c r="D118" t="s">
        <v>280</v>
      </c>
      <c r="E118" t="s">
        <v>4</v>
      </c>
      <c r="F118">
        <f>636/20</f>
        <v>31.8</v>
      </c>
      <c r="G118" t="s">
        <v>5</v>
      </c>
    </row>
    <row r="120" spans="1:7" x14ac:dyDescent="0.35">
      <c r="A120" t="s">
        <v>3014</v>
      </c>
      <c r="B120" t="s">
        <v>3015</v>
      </c>
      <c r="C120" t="s">
        <v>638</v>
      </c>
      <c r="D120" t="s">
        <v>287</v>
      </c>
      <c r="E120" t="s">
        <v>4</v>
      </c>
      <c r="F120">
        <f>400/12.5</f>
        <v>32</v>
      </c>
      <c r="G120" t="s">
        <v>5</v>
      </c>
    </row>
    <row r="122" spans="1:7" x14ac:dyDescent="0.35">
      <c r="A122" t="s">
        <v>3053</v>
      </c>
      <c r="B122" t="s">
        <v>1151</v>
      </c>
      <c r="C122" t="s">
        <v>3054</v>
      </c>
      <c r="D122" t="s">
        <v>219</v>
      </c>
      <c r="E122" t="s">
        <v>4</v>
      </c>
      <c r="F122">
        <f>119/5.5</f>
        <v>21.636363636363637</v>
      </c>
      <c r="G122" t="s">
        <v>10</v>
      </c>
    </row>
    <row r="124" spans="1:7" x14ac:dyDescent="0.35">
      <c r="A124" t="s">
        <v>3191</v>
      </c>
      <c r="B124" t="s">
        <v>1944</v>
      </c>
      <c r="C124" t="s">
        <v>3192</v>
      </c>
      <c r="D124" t="s">
        <v>1527</v>
      </c>
      <c r="E124" t="s">
        <v>4</v>
      </c>
      <c r="F124">
        <f>1800/190</f>
        <v>9.473684210526315</v>
      </c>
      <c r="G124" t="s">
        <v>10</v>
      </c>
    </row>
    <row r="126" spans="1:7" x14ac:dyDescent="0.35">
      <c r="A126" t="s">
        <v>3199</v>
      </c>
      <c r="B126" t="s">
        <v>3200</v>
      </c>
      <c r="C126" t="s">
        <v>3201</v>
      </c>
      <c r="D126" t="s">
        <v>164</v>
      </c>
      <c r="E126" t="s">
        <v>4</v>
      </c>
      <c r="F126">
        <f>1027/25</f>
        <v>41.08</v>
      </c>
      <c r="G126" t="s">
        <v>5</v>
      </c>
    </row>
    <row r="128" spans="1:7" x14ac:dyDescent="0.35">
      <c r="A128" t="s">
        <v>3232</v>
      </c>
      <c r="B128" t="s">
        <v>3233</v>
      </c>
      <c r="C128" t="s">
        <v>3234</v>
      </c>
      <c r="D128" t="s">
        <v>942</v>
      </c>
      <c r="E128" t="s">
        <v>4</v>
      </c>
      <c r="F128">
        <f>465/19</f>
        <v>24.473684210526315</v>
      </c>
      <c r="G128" t="s">
        <v>5</v>
      </c>
    </row>
    <row r="130" spans="1:7" x14ac:dyDescent="0.35">
      <c r="A130" t="s">
        <v>3326</v>
      </c>
      <c r="B130" t="s">
        <v>3327</v>
      </c>
      <c r="C130" t="s">
        <v>3328</v>
      </c>
      <c r="D130" t="s">
        <v>834</v>
      </c>
      <c r="E130" t="s">
        <v>4</v>
      </c>
      <c r="F130">
        <f>980/47</f>
        <v>20.851063829787233</v>
      </c>
      <c r="G130" t="s">
        <v>10</v>
      </c>
    </row>
    <row r="132" spans="1:7" x14ac:dyDescent="0.35">
      <c r="A132" t="s">
        <v>3334</v>
      </c>
      <c r="B132" t="s">
        <v>3335</v>
      </c>
      <c r="C132" t="s">
        <v>3336</v>
      </c>
      <c r="D132" t="s">
        <v>27</v>
      </c>
      <c r="E132" t="s">
        <v>4</v>
      </c>
      <c r="F132">
        <f>560/35</f>
        <v>16</v>
      </c>
      <c r="G132" t="s">
        <v>10</v>
      </c>
    </row>
    <row r="134" spans="1:7" x14ac:dyDescent="0.35">
      <c r="A134" t="s">
        <v>3468</v>
      </c>
      <c r="B134" t="s">
        <v>2752</v>
      </c>
      <c r="C134" t="s">
        <v>3469</v>
      </c>
      <c r="D134" t="s">
        <v>366</v>
      </c>
      <c r="E134" t="s">
        <v>4</v>
      </c>
      <c r="F134">
        <f>235/14</f>
        <v>16.785714285714285</v>
      </c>
      <c r="G134" t="s">
        <v>10</v>
      </c>
    </row>
    <row r="136" spans="1:7" x14ac:dyDescent="0.35">
      <c r="A136" t="s">
        <v>3514</v>
      </c>
      <c r="B136" t="s">
        <v>2109</v>
      </c>
      <c r="C136" t="s">
        <v>2496</v>
      </c>
      <c r="D136" t="s">
        <v>280</v>
      </c>
      <c r="E136" t="s">
        <v>4</v>
      </c>
      <c r="F136">
        <f>440/20</f>
        <v>22</v>
      </c>
      <c r="G136" t="s">
        <v>5</v>
      </c>
    </row>
    <row r="138" spans="1:7" x14ac:dyDescent="0.35">
      <c r="A138" t="s">
        <v>3543</v>
      </c>
      <c r="B138" t="s">
        <v>3245</v>
      </c>
      <c r="C138" t="s">
        <v>225</v>
      </c>
      <c r="D138" t="s">
        <v>650</v>
      </c>
      <c r="E138" t="s">
        <v>4</v>
      </c>
      <c r="F138">
        <f>22/1.4</f>
        <v>15.714285714285715</v>
      </c>
      <c r="G138" t="s">
        <v>10</v>
      </c>
    </row>
    <row r="140" spans="1:7" x14ac:dyDescent="0.35">
      <c r="A140" t="s">
        <v>3629</v>
      </c>
      <c r="B140" t="s">
        <v>3630</v>
      </c>
      <c r="C140" t="s">
        <v>2223</v>
      </c>
      <c r="D140" t="s">
        <v>834</v>
      </c>
      <c r="E140" t="s">
        <v>4</v>
      </c>
      <c r="F140">
        <f>1500/47</f>
        <v>31.914893617021278</v>
      </c>
      <c r="G140" t="s">
        <v>5</v>
      </c>
    </row>
    <row r="142" spans="1:7" x14ac:dyDescent="0.35">
      <c r="A142" t="s">
        <v>3661</v>
      </c>
      <c r="B142" t="s">
        <v>194</v>
      </c>
      <c r="C142" t="s">
        <v>3662</v>
      </c>
      <c r="D142" t="s">
        <v>498</v>
      </c>
      <c r="E142" t="s">
        <v>4</v>
      </c>
      <c r="F142">
        <f>159/8</f>
        <v>19.875</v>
      </c>
      <c r="G142" t="s">
        <v>10</v>
      </c>
    </row>
    <row r="144" spans="1:7" x14ac:dyDescent="0.35">
      <c r="A144" t="s">
        <v>3629</v>
      </c>
      <c r="B144" t="s">
        <v>3630</v>
      </c>
      <c r="C144" t="s">
        <v>2223</v>
      </c>
      <c r="D144" t="s">
        <v>265</v>
      </c>
      <c r="E144" t="s">
        <v>4</v>
      </c>
      <c r="F144">
        <f>1450/45</f>
        <v>32.222222222222221</v>
      </c>
      <c r="G144" t="s">
        <v>5</v>
      </c>
    </row>
    <row r="146" spans="1:7" x14ac:dyDescent="0.35">
      <c r="A146" t="s">
        <v>3683</v>
      </c>
      <c r="B146" t="s">
        <v>3684</v>
      </c>
      <c r="C146" t="s">
        <v>1413</v>
      </c>
      <c r="D146" t="s">
        <v>3685</v>
      </c>
      <c r="E146" t="s">
        <v>4</v>
      </c>
      <c r="F146">
        <f>9.64/0.38</f>
        <v>25.368421052631579</v>
      </c>
      <c r="G146" t="s">
        <v>5</v>
      </c>
    </row>
    <row r="148" spans="1:7" x14ac:dyDescent="0.35">
      <c r="A148" t="s">
        <v>3712</v>
      </c>
      <c r="B148" t="s">
        <v>1357</v>
      </c>
      <c r="C148" t="s">
        <v>3713</v>
      </c>
      <c r="D148" t="s">
        <v>2480</v>
      </c>
      <c r="E148" t="s">
        <v>4</v>
      </c>
      <c r="F148">
        <f>700/185</f>
        <v>3.7837837837837838</v>
      </c>
      <c r="G148" t="s">
        <v>10</v>
      </c>
    </row>
    <row r="150" spans="1:7" x14ac:dyDescent="0.35">
      <c r="A150" t="s">
        <v>3720</v>
      </c>
      <c r="B150" t="s">
        <v>155</v>
      </c>
      <c r="C150" t="s">
        <v>3721</v>
      </c>
      <c r="D150" t="s">
        <v>93</v>
      </c>
      <c r="E150" t="s">
        <v>4</v>
      </c>
      <c r="F150">
        <f>135/4.5</f>
        <v>30</v>
      </c>
      <c r="G150" t="s">
        <v>5</v>
      </c>
    </row>
    <row r="152" spans="1:7" x14ac:dyDescent="0.35">
      <c r="A152" t="s">
        <v>3773</v>
      </c>
      <c r="B152" t="s">
        <v>3774</v>
      </c>
      <c r="C152" t="s">
        <v>3535</v>
      </c>
      <c r="D152" t="s">
        <v>141</v>
      </c>
      <c r="E152" t="s">
        <v>4</v>
      </c>
      <c r="F152">
        <f>960/68</f>
        <v>14.117647058823529</v>
      </c>
      <c r="G152" t="s">
        <v>10</v>
      </c>
    </row>
    <row r="154" spans="1:7" x14ac:dyDescent="0.35">
      <c r="A154" t="s">
        <v>3786</v>
      </c>
      <c r="B154" t="s">
        <v>1571</v>
      </c>
      <c r="C154" t="s">
        <v>3787</v>
      </c>
      <c r="D154" t="s">
        <v>79</v>
      </c>
      <c r="E154" t="s">
        <v>4</v>
      </c>
      <c r="F154">
        <f>231/10</f>
        <v>23.1</v>
      </c>
      <c r="G154" t="s">
        <v>5</v>
      </c>
    </row>
    <row r="156" spans="1:7" x14ac:dyDescent="0.35">
      <c r="A156" t="s">
        <v>3868</v>
      </c>
      <c r="B156" t="s">
        <v>385</v>
      </c>
      <c r="C156" t="s">
        <v>1228</v>
      </c>
      <c r="D156" t="s">
        <v>55</v>
      </c>
      <c r="E156" t="s">
        <v>4</v>
      </c>
      <c r="F156">
        <f>52/3.1</f>
        <v>16.774193548387096</v>
      </c>
      <c r="G156" t="s">
        <v>10</v>
      </c>
    </row>
    <row r="158" spans="1:7" x14ac:dyDescent="0.35">
      <c r="A158" t="s">
        <v>3945</v>
      </c>
      <c r="B158" t="s">
        <v>3946</v>
      </c>
      <c r="C158" t="s">
        <v>386</v>
      </c>
      <c r="D158" t="s">
        <v>1002</v>
      </c>
      <c r="E158" t="s">
        <v>4</v>
      </c>
      <c r="F158">
        <f>262/7.5</f>
        <v>34.93333333333333</v>
      </c>
      <c r="G158" t="s">
        <v>5</v>
      </c>
    </row>
    <row r="160" spans="1:7" x14ac:dyDescent="0.35">
      <c r="A160" t="s">
        <v>3970</v>
      </c>
      <c r="B160" t="s">
        <v>3971</v>
      </c>
      <c r="C160" t="s">
        <v>3972</v>
      </c>
      <c r="D160" t="s">
        <v>419</v>
      </c>
      <c r="E160" t="s">
        <v>4</v>
      </c>
      <c r="F160">
        <f>422/37</f>
        <v>11.405405405405405</v>
      </c>
      <c r="G160" t="s">
        <v>10</v>
      </c>
    </row>
    <row r="162" spans="1:7" x14ac:dyDescent="0.35">
      <c r="A162" t="s">
        <v>3993</v>
      </c>
      <c r="B162" t="s">
        <v>3994</v>
      </c>
      <c r="C162" t="s">
        <v>3995</v>
      </c>
      <c r="D162" t="s">
        <v>942</v>
      </c>
      <c r="E162" t="s">
        <v>4</v>
      </c>
      <c r="F162">
        <f>130/19</f>
        <v>6.8421052631578947</v>
      </c>
      <c r="G162" t="s">
        <v>10</v>
      </c>
    </row>
    <row r="164" spans="1:7" x14ac:dyDescent="0.35">
      <c r="A164" t="s">
        <v>4011</v>
      </c>
      <c r="B164" t="s">
        <v>21</v>
      </c>
      <c r="C164" t="s">
        <v>3279</v>
      </c>
      <c r="D164" t="s">
        <v>192</v>
      </c>
      <c r="E164" t="s">
        <v>4</v>
      </c>
      <c r="F164">
        <f>52/11</f>
        <v>4.7272727272727275</v>
      </c>
      <c r="G164" t="s">
        <v>10</v>
      </c>
    </row>
    <row r="166" spans="1:7" x14ac:dyDescent="0.35">
      <c r="A166" t="s">
        <v>4035</v>
      </c>
      <c r="B166" t="s">
        <v>1480</v>
      </c>
      <c r="C166" t="s">
        <v>3434</v>
      </c>
      <c r="D166" t="s">
        <v>1276</v>
      </c>
      <c r="E166" t="s">
        <v>4</v>
      </c>
      <c r="F166">
        <f>3000/150</f>
        <v>20</v>
      </c>
      <c r="G166" t="s">
        <v>10</v>
      </c>
    </row>
    <row r="168" spans="1:7" x14ac:dyDescent="0.35">
      <c r="A168" t="s">
        <v>4066</v>
      </c>
      <c r="B168" t="s">
        <v>4067</v>
      </c>
      <c r="C168" t="s">
        <v>4068</v>
      </c>
      <c r="D168" t="s">
        <v>768</v>
      </c>
      <c r="E168" t="s">
        <v>4</v>
      </c>
      <c r="F168">
        <f>1250/52</f>
        <v>24.03846153846154</v>
      </c>
      <c r="G168" t="s">
        <v>5</v>
      </c>
    </row>
    <row r="170" spans="1:7" x14ac:dyDescent="0.35">
      <c r="A170" t="s">
        <v>4088</v>
      </c>
      <c r="B170" t="s">
        <v>2085</v>
      </c>
      <c r="C170" t="s">
        <v>4089</v>
      </c>
      <c r="D170" t="s">
        <v>269</v>
      </c>
      <c r="E170" t="s">
        <v>4</v>
      </c>
      <c r="F170">
        <f>22/3</f>
        <v>7.333333333333333</v>
      </c>
      <c r="G170" t="s">
        <v>10</v>
      </c>
    </row>
    <row r="172" spans="1:7" x14ac:dyDescent="0.35">
      <c r="A172" t="s">
        <v>4095</v>
      </c>
      <c r="B172" t="s">
        <v>2122</v>
      </c>
      <c r="C172" t="s">
        <v>1446</v>
      </c>
      <c r="D172" t="s">
        <v>258</v>
      </c>
      <c r="E172" t="s">
        <v>4</v>
      </c>
      <c r="F172">
        <f>735/5</f>
        <v>147</v>
      </c>
      <c r="G172" t="s">
        <v>5</v>
      </c>
    </row>
    <row r="174" spans="1:7" x14ac:dyDescent="0.35">
      <c r="A174" t="s">
        <v>4120</v>
      </c>
      <c r="B174" t="s">
        <v>2634</v>
      </c>
      <c r="C174" t="s">
        <v>4121</v>
      </c>
      <c r="D174" t="s">
        <v>134</v>
      </c>
      <c r="E174" t="s">
        <v>4</v>
      </c>
      <c r="F174">
        <f>243/12</f>
        <v>20.25</v>
      </c>
      <c r="G174" t="s">
        <v>5</v>
      </c>
    </row>
    <row r="176" spans="1:7" x14ac:dyDescent="0.35">
      <c r="A176" t="s">
        <v>4127</v>
      </c>
      <c r="B176" t="s">
        <v>3933</v>
      </c>
      <c r="C176" t="s">
        <v>4128</v>
      </c>
    </row>
    <row r="178" spans="1:7" x14ac:dyDescent="0.35">
      <c r="A178" t="s">
        <v>4140</v>
      </c>
      <c r="B178" t="s">
        <v>132</v>
      </c>
      <c r="C178" t="s">
        <v>4141</v>
      </c>
      <c r="D178" t="s">
        <v>19</v>
      </c>
      <c r="E178" t="s">
        <v>4</v>
      </c>
      <c r="F178">
        <f>473/9</f>
        <v>52.555555555555557</v>
      </c>
      <c r="G178" t="s">
        <v>5</v>
      </c>
    </row>
    <row r="180" spans="1:7" x14ac:dyDescent="0.35">
      <c r="A180" t="s">
        <v>4149</v>
      </c>
      <c r="B180" t="s">
        <v>1694</v>
      </c>
      <c r="C180" t="s">
        <v>4150</v>
      </c>
      <c r="D180" t="s">
        <v>463</v>
      </c>
      <c r="E180" t="s">
        <v>4</v>
      </c>
      <c r="F180">
        <f>823/24</f>
        <v>34.291666666666664</v>
      </c>
      <c r="G180" t="s">
        <v>5</v>
      </c>
    </row>
    <row r="182" spans="1:7" x14ac:dyDescent="0.35">
      <c r="A182" t="s">
        <v>4182</v>
      </c>
      <c r="B182" t="s">
        <v>132</v>
      </c>
      <c r="C182" t="s">
        <v>3091</v>
      </c>
      <c r="D182" t="s">
        <v>59</v>
      </c>
      <c r="E182" t="s">
        <v>4</v>
      </c>
      <c r="F182">
        <f>166/13</f>
        <v>12.76923076923077</v>
      </c>
      <c r="G182" t="s">
        <v>10</v>
      </c>
    </row>
    <row r="184" spans="1:7" x14ac:dyDescent="0.35">
      <c r="A184" t="s">
        <v>4205</v>
      </c>
      <c r="B184" t="s">
        <v>278</v>
      </c>
      <c r="C184" t="s">
        <v>4206</v>
      </c>
      <c r="D184" t="s">
        <v>79</v>
      </c>
      <c r="E184" t="s">
        <v>4</v>
      </c>
      <c r="F184">
        <f>256/10</f>
        <v>25.6</v>
      </c>
      <c r="G184" t="s">
        <v>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F1BB0-6749-4942-973B-C3BE97E26A0B}">
  <dimension ref="A1:G19"/>
  <sheetViews>
    <sheetView workbookViewId="0">
      <selection activeCell="A21" sqref="A21"/>
    </sheetView>
  </sheetViews>
  <sheetFormatPr defaultRowHeight="14.5" x14ac:dyDescent="0.35"/>
  <sheetData>
    <row r="1" spans="1:7" x14ac:dyDescent="0.35">
      <c r="A1" t="s">
        <v>11</v>
      </c>
      <c r="B1" t="s">
        <v>12</v>
      </c>
      <c r="C1" t="s">
        <v>13</v>
      </c>
      <c r="D1" t="s">
        <v>14</v>
      </c>
      <c r="E1" t="s">
        <v>4</v>
      </c>
      <c r="F1">
        <f>1750/87</f>
        <v>20.114942528735632</v>
      </c>
      <c r="G1" t="s">
        <v>15</v>
      </c>
    </row>
    <row r="3" spans="1:7" x14ac:dyDescent="0.35">
      <c r="A3" t="s">
        <v>1590</v>
      </c>
      <c r="B3" t="s">
        <v>1406</v>
      </c>
      <c r="C3" t="s">
        <v>1591</v>
      </c>
      <c r="D3" t="s">
        <v>366</v>
      </c>
      <c r="E3" t="s">
        <v>4</v>
      </c>
      <c r="F3">
        <f>366/14</f>
        <v>26.142857142857142</v>
      </c>
      <c r="G3" t="s">
        <v>5</v>
      </c>
    </row>
    <row r="5" spans="1:7" x14ac:dyDescent="0.35">
      <c r="A5" t="s">
        <v>2256</v>
      </c>
      <c r="B5" t="s">
        <v>710</v>
      </c>
      <c r="C5" t="s">
        <v>2257</v>
      </c>
      <c r="D5" t="s">
        <v>1454</v>
      </c>
      <c r="E5" t="s">
        <v>4</v>
      </c>
      <c r="F5">
        <f>231/11.5</f>
        <v>20.086956521739129</v>
      </c>
      <c r="G5" t="s">
        <v>10</v>
      </c>
    </row>
    <row r="7" spans="1:7" x14ac:dyDescent="0.35">
      <c r="A7" t="s">
        <v>2344</v>
      </c>
      <c r="B7" t="s">
        <v>2345</v>
      </c>
      <c r="C7" t="s">
        <v>2346</v>
      </c>
      <c r="D7" t="s">
        <v>1834</v>
      </c>
      <c r="E7" t="s">
        <v>4</v>
      </c>
      <c r="F7">
        <f>51/1.7</f>
        <v>30</v>
      </c>
      <c r="G7" t="s">
        <v>10</v>
      </c>
    </row>
    <row r="9" spans="1:7" x14ac:dyDescent="0.35">
      <c r="A9" t="s">
        <v>2583</v>
      </c>
      <c r="B9" t="s">
        <v>2584</v>
      </c>
      <c r="C9" t="s">
        <v>2585</v>
      </c>
      <c r="D9" t="s">
        <v>815</v>
      </c>
      <c r="E9" t="s">
        <v>4</v>
      </c>
      <c r="F9">
        <f>530/32</f>
        <v>16.5625</v>
      </c>
      <c r="G9" t="s">
        <v>10</v>
      </c>
    </row>
    <row r="11" spans="1:7" x14ac:dyDescent="0.35">
      <c r="A11" t="s">
        <v>2784</v>
      </c>
      <c r="B11" t="s">
        <v>2059</v>
      </c>
      <c r="C11" t="s">
        <v>2785</v>
      </c>
      <c r="D11" t="s">
        <v>178</v>
      </c>
      <c r="E11" t="s">
        <v>4</v>
      </c>
      <c r="F11">
        <f>272/15</f>
        <v>18.133333333333333</v>
      </c>
      <c r="G11" t="s">
        <v>10</v>
      </c>
    </row>
    <row r="13" spans="1:7" x14ac:dyDescent="0.35">
      <c r="A13" t="s">
        <v>2879</v>
      </c>
      <c r="B13" t="s">
        <v>2880</v>
      </c>
      <c r="C13" t="s">
        <v>2881</v>
      </c>
      <c r="D13" t="s">
        <v>613</v>
      </c>
      <c r="E13" t="s">
        <v>4</v>
      </c>
      <c r="F13">
        <f>646/40</f>
        <v>16.149999999999999</v>
      </c>
      <c r="G13" t="s">
        <v>10</v>
      </c>
    </row>
    <row r="15" spans="1:7" x14ac:dyDescent="0.35">
      <c r="A15" t="s">
        <v>3622</v>
      </c>
      <c r="B15" t="s">
        <v>3623</v>
      </c>
      <c r="C15" t="s">
        <v>2520</v>
      </c>
      <c r="D15" t="s">
        <v>178</v>
      </c>
      <c r="E15" t="s">
        <v>4</v>
      </c>
      <c r="F15">
        <f>4500/15</f>
        <v>300</v>
      </c>
      <c r="G15" t="s">
        <v>5</v>
      </c>
    </row>
    <row r="17" spans="1:7" x14ac:dyDescent="0.35">
      <c r="A17" t="s">
        <v>4008</v>
      </c>
      <c r="B17" t="s">
        <v>2345</v>
      </c>
      <c r="C17" t="s">
        <v>3721</v>
      </c>
      <c r="D17" t="s">
        <v>258</v>
      </c>
      <c r="E17" t="s">
        <v>4</v>
      </c>
      <c r="F17">
        <f>380/5</f>
        <v>76</v>
      </c>
      <c r="G17" t="s">
        <v>5</v>
      </c>
    </row>
    <row r="19" spans="1:7" x14ac:dyDescent="0.35">
      <c r="A19" t="s">
        <v>4188</v>
      </c>
      <c r="B19" t="s">
        <v>2369</v>
      </c>
      <c r="C19" t="s">
        <v>2797</v>
      </c>
      <c r="D19" t="s">
        <v>4189</v>
      </c>
      <c r="E19" t="s">
        <v>4</v>
      </c>
      <c r="F19">
        <f>542/28.5</f>
        <v>19.017543859649123</v>
      </c>
      <c r="G19" t="s">
        <v>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D25B0-2F46-4CAE-B30C-841B99F49DF6}">
  <dimension ref="A1:G51"/>
  <sheetViews>
    <sheetView topLeftCell="A24" workbookViewId="0">
      <selection activeCell="A53" sqref="A53"/>
    </sheetView>
  </sheetViews>
  <sheetFormatPr defaultRowHeight="14.5" x14ac:dyDescent="0.35"/>
  <sheetData>
    <row r="1" spans="1:7" x14ac:dyDescent="0.35">
      <c r="A1" t="s">
        <v>570</v>
      </c>
      <c r="B1" t="s">
        <v>571</v>
      </c>
      <c r="C1" t="s">
        <v>572</v>
      </c>
      <c r="D1" t="s">
        <v>573</v>
      </c>
      <c r="E1" t="s">
        <v>4</v>
      </c>
      <c r="F1">
        <f>1076/90</f>
        <v>11.955555555555556</v>
      </c>
      <c r="G1" t="s">
        <v>10</v>
      </c>
    </row>
    <row r="3" spans="1:7" x14ac:dyDescent="0.35">
      <c r="A3" t="s">
        <v>1063</v>
      </c>
      <c r="B3" t="s">
        <v>132</v>
      </c>
      <c r="C3" t="s">
        <v>1064</v>
      </c>
      <c r="D3" t="s">
        <v>971</v>
      </c>
      <c r="E3" t="s">
        <v>4</v>
      </c>
      <c r="F3">
        <f>480/10.5</f>
        <v>45.714285714285715</v>
      </c>
      <c r="G3" t="s">
        <v>5</v>
      </c>
    </row>
    <row r="5" spans="1:7" x14ac:dyDescent="0.35">
      <c r="A5" t="s">
        <v>1083</v>
      </c>
      <c r="B5" t="s">
        <v>29</v>
      </c>
    </row>
    <row r="7" spans="1:7" x14ac:dyDescent="0.35">
      <c r="A7" t="s">
        <v>1464</v>
      </c>
      <c r="B7" t="s">
        <v>1462</v>
      </c>
      <c r="C7" t="s">
        <v>54</v>
      </c>
      <c r="D7" t="s">
        <v>79</v>
      </c>
      <c r="E7" t="s">
        <v>4</v>
      </c>
      <c r="F7">
        <f>270/10</f>
        <v>27</v>
      </c>
      <c r="G7" t="s">
        <v>5</v>
      </c>
    </row>
    <row r="9" spans="1:7" x14ac:dyDescent="0.35">
      <c r="A9" t="s">
        <v>1640</v>
      </c>
      <c r="B9" t="s">
        <v>1641</v>
      </c>
      <c r="C9" t="s">
        <v>1642</v>
      </c>
      <c r="D9" t="s">
        <v>626</v>
      </c>
      <c r="E9" t="s">
        <v>4</v>
      </c>
      <c r="F9">
        <f>2382/39</f>
        <v>61.07692307692308</v>
      </c>
      <c r="G9" t="s">
        <v>10</v>
      </c>
    </row>
    <row r="11" spans="1:7" x14ac:dyDescent="0.35">
      <c r="A11" t="s">
        <v>1838</v>
      </c>
      <c r="B11" t="s">
        <v>1625</v>
      </c>
      <c r="C11" t="s">
        <v>1839</v>
      </c>
      <c r="D11" t="s">
        <v>1834</v>
      </c>
      <c r="E11" t="s">
        <v>4</v>
      </c>
      <c r="F11">
        <f>210/1.7</f>
        <v>123.52941176470588</v>
      </c>
      <c r="G11" t="s">
        <v>5</v>
      </c>
    </row>
    <row r="13" spans="1:7" x14ac:dyDescent="0.35">
      <c r="A13" t="s">
        <v>2043</v>
      </c>
      <c r="B13" t="s">
        <v>2044</v>
      </c>
      <c r="C13" t="s">
        <v>1993</v>
      </c>
      <c r="D13" t="s">
        <v>681</v>
      </c>
      <c r="E13" t="s">
        <v>4</v>
      </c>
      <c r="F13">
        <f>2200/85</f>
        <v>25.882352941176471</v>
      </c>
    </row>
    <row r="15" spans="1:7" x14ac:dyDescent="0.35">
      <c r="A15" t="s">
        <v>2103</v>
      </c>
      <c r="B15" t="s">
        <v>172</v>
      </c>
      <c r="C15" t="s">
        <v>2104</v>
      </c>
      <c r="D15" t="s">
        <v>192</v>
      </c>
      <c r="E15" t="s">
        <v>4</v>
      </c>
      <c r="F15">
        <f>259/11</f>
        <v>23.545454545454547</v>
      </c>
      <c r="G15" t="s">
        <v>5</v>
      </c>
    </row>
    <row r="17" spans="1:7" x14ac:dyDescent="0.35">
      <c r="A17" t="s">
        <v>2352</v>
      </c>
      <c r="B17" t="s">
        <v>2248</v>
      </c>
      <c r="C17" t="s">
        <v>2353</v>
      </c>
      <c r="D17" t="s">
        <v>174</v>
      </c>
      <c r="E17" t="s">
        <v>4</v>
      </c>
      <c r="F17">
        <f>42/1.75</f>
        <v>24</v>
      </c>
      <c r="G17" t="s">
        <v>10</v>
      </c>
    </row>
    <row r="19" spans="1:7" x14ac:dyDescent="0.35">
      <c r="A19" t="s">
        <v>2381</v>
      </c>
      <c r="B19" t="s">
        <v>1634</v>
      </c>
      <c r="C19" t="s">
        <v>2382</v>
      </c>
      <c r="D19" t="s">
        <v>116</v>
      </c>
      <c r="E19" t="s">
        <v>4</v>
      </c>
      <c r="F19">
        <f>25/2.5</f>
        <v>10</v>
      </c>
      <c r="G19" t="s">
        <v>10</v>
      </c>
    </row>
    <row r="21" spans="1:7" x14ac:dyDescent="0.35">
      <c r="A21" t="s">
        <v>2469</v>
      </c>
      <c r="B21" t="s">
        <v>2470</v>
      </c>
      <c r="C21" t="s">
        <v>2471</v>
      </c>
      <c r="D21" t="s">
        <v>27</v>
      </c>
      <c r="E21" t="s">
        <v>4</v>
      </c>
      <c r="F21">
        <f>1640/35</f>
        <v>46.857142857142854</v>
      </c>
      <c r="G21" t="s">
        <v>5</v>
      </c>
    </row>
    <row r="23" spans="1:7" x14ac:dyDescent="0.35">
      <c r="A23" t="s">
        <v>2485</v>
      </c>
      <c r="B23" t="s">
        <v>2486</v>
      </c>
      <c r="C23" t="s">
        <v>2487</v>
      </c>
      <c r="D23" t="s">
        <v>178</v>
      </c>
      <c r="E23" t="s">
        <v>4</v>
      </c>
      <c r="F23">
        <f>180/15</f>
        <v>12</v>
      </c>
      <c r="G23" t="s">
        <v>10</v>
      </c>
    </row>
    <row r="25" spans="1:7" x14ac:dyDescent="0.35">
      <c r="A25" t="s">
        <v>2527</v>
      </c>
      <c r="B25" t="s">
        <v>29</v>
      </c>
      <c r="C25" t="s">
        <v>2528</v>
      </c>
      <c r="D25" t="s">
        <v>89</v>
      </c>
      <c r="E25" t="s">
        <v>4</v>
      </c>
      <c r="F25">
        <f>418/4</f>
        <v>104.5</v>
      </c>
      <c r="G25" t="s">
        <v>5</v>
      </c>
    </row>
    <row r="27" spans="1:7" x14ac:dyDescent="0.35">
      <c r="A27" t="s">
        <v>2698</v>
      </c>
      <c r="B27" t="s">
        <v>1151</v>
      </c>
      <c r="C27" t="s">
        <v>2699</v>
      </c>
      <c r="D27" t="s">
        <v>35</v>
      </c>
      <c r="E27" t="s">
        <v>4</v>
      </c>
      <c r="F27">
        <f>150/6</f>
        <v>25</v>
      </c>
      <c r="G27" t="s">
        <v>5</v>
      </c>
    </row>
    <row r="29" spans="1:7" x14ac:dyDescent="0.35">
      <c r="A29" t="s">
        <v>2900</v>
      </c>
      <c r="B29" t="s">
        <v>29</v>
      </c>
    </row>
    <row r="31" spans="1:7" x14ac:dyDescent="0.35">
      <c r="A31" t="s">
        <v>3258</v>
      </c>
      <c r="B31" t="s">
        <v>1958</v>
      </c>
      <c r="C31" t="s">
        <v>3259</v>
      </c>
      <c r="D31" t="s">
        <v>178</v>
      </c>
      <c r="E31" t="s">
        <v>4</v>
      </c>
      <c r="F31">
        <f>166/15</f>
        <v>11.066666666666666</v>
      </c>
      <c r="G31" t="s">
        <v>10</v>
      </c>
    </row>
    <row r="33" spans="1:7" x14ac:dyDescent="0.35">
      <c r="A33" t="s">
        <v>3277</v>
      </c>
      <c r="B33" t="s">
        <v>29</v>
      </c>
    </row>
    <row r="35" spans="1:7" x14ac:dyDescent="0.35">
      <c r="A35" t="s">
        <v>3373</v>
      </c>
      <c r="B35" t="s">
        <v>3324</v>
      </c>
      <c r="C35" t="s">
        <v>3374</v>
      </c>
      <c r="D35" t="s">
        <v>3375</v>
      </c>
      <c r="E35" t="s">
        <v>4</v>
      </c>
      <c r="F35">
        <f>5750/135</f>
        <v>42.592592592592595</v>
      </c>
      <c r="G35" t="s">
        <v>5</v>
      </c>
    </row>
    <row r="37" spans="1:7" x14ac:dyDescent="0.35">
      <c r="A37" t="s">
        <v>3495</v>
      </c>
      <c r="B37" t="s">
        <v>1512</v>
      </c>
      <c r="C37" t="s">
        <v>3496</v>
      </c>
      <c r="D37" t="s">
        <v>695</v>
      </c>
      <c r="E37" t="s">
        <v>4</v>
      </c>
      <c r="F37">
        <f>106/2</f>
        <v>53</v>
      </c>
      <c r="G37" t="s">
        <v>5</v>
      </c>
    </row>
    <row r="39" spans="1:7" x14ac:dyDescent="0.35">
      <c r="A39" t="s">
        <v>3556</v>
      </c>
      <c r="B39" t="s">
        <v>3557</v>
      </c>
      <c r="C39" t="s">
        <v>3558</v>
      </c>
      <c r="D39" t="s">
        <v>3559</v>
      </c>
      <c r="E39" t="s">
        <v>4</v>
      </c>
      <c r="F39">
        <f>2375/124</f>
        <v>19.153225806451612</v>
      </c>
      <c r="G39" t="s">
        <v>10</v>
      </c>
    </row>
    <row r="41" spans="1:7" x14ac:dyDescent="0.35">
      <c r="A41" t="s">
        <v>3566</v>
      </c>
      <c r="B41" t="s">
        <v>476</v>
      </c>
      <c r="C41" t="s">
        <v>2090</v>
      </c>
      <c r="D41" t="s">
        <v>3567</v>
      </c>
      <c r="E41" t="s">
        <v>4</v>
      </c>
      <c r="F41">
        <f>973/71</f>
        <v>13.704225352112676</v>
      </c>
      <c r="G41" t="s">
        <v>10</v>
      </c>
    </row>
    <row r="43" spans="1:7" x14ac:dyDescent="0.35">
      <c r="A43" t="s">
        <v>3575</v>
      </c>
      <c r="B43" t="s">
        <v>3576</v>
      </c>
      <c r="C43" t="s">
        <v>543</v>
      </c>
      <c r="D43" t="s">
        <v>593</v>
      </c>
      <c r="E43" t="s">
        <v>4</v>
      </c>
      <c r="F43">
        <f>500/27</f>
        <v>18.518518518518519</v>
      </c>
      <c r="G43" t="s">
        <v>10</v>
      </c>
    </row>
    <row r="45" spans="1:7" x14ac:dyDescent="0.35">
      <c r="A45" t="s">
        <v>3708</v>
      </c>
      <c r="B45" t="s">
        <v>29</v>
      </c>
      <c r="C45" t="s">
        <v>3709</v>
      </c>
      <c r="D45" t="s">
        <v>1424</v>
      </c>
      <c r="E45" t="s">
        <v>4</v>
      </c>
      <c r="F45">
        <f>37400/350</f>
        <v>106.85714285714286</v>
      </c>
      <c r="G45" t="s">
        <v>5</v>
      </c>
    </row>
    <row r="47" spans="1:7" x14ac:dyDescent="0.35">
      <c r="A47" t="s">
        <v>3795</v>
      </c>
      <c r="B47" t="s">
        <v>1653</v>
      </c>
      <c r="C47" t="s">
        <v>3796</v>
      </c>
      <c r="D47" t="s">
        <v>3797</v>
      </c>
      <c r="E47" t="s">
        <v>4</v>
      </c>
      <c r="F47">
        <f>26/2</f>
        <v>13</v>
      </c>
      <c r="G47" t="s">
        <v>10</v>
      </c>
    </row>
    <row r="49" spans="1:7" x14ac:dyDescent="0.35">
      <c r="A49" t="s">
        <v>3872</v>
      </c>
      <c r="B49" t="s">
        <v>3873</v>
      </c>
      <c r="C49" t="s">
        <v>3874</v>
      </c>
      <c r="D49" t="s">
        <v>3567</v>
      </c>
      <c r="E49" t="s">
        <v>4</v>
      </c>
      <c r="F49">
        <f>3500/71</f>
        <v>49.29577464788732</v>
      </c>
      <c r="G49" t="s">
        <v>5</v>
      </c>
    </row>
    <row r="51" spans="1:7" x14ac:dyDescent="0.35">
      <c r="A51" t="s">
        <v>4000</v>
      </c>
      <c r="B51" t="s">
        <v>3415</v>
      </c>
      <c r="C51" t="s">
        <v>945</v>
      </c>
      <c r="D51" t="s">
        <v>258</v>
      </c>
      <c r="E51" t="s">
        <v>4</v>
      </c>
      <c r="F51">
        <f>48/5</f>
        <v>9.6</v>
      </c>
      <c r="G51" t="s">
        <v>10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BEC4E-9F1C-4491-9BF9-1DF698B51F26}">
  <dimension ref="A1:G178"/>
  <sheetViews>
    <sheetView topLeftCell="A149" workbookViewId="0">
      <selection activeCell="G178" sqref="G178"/>
    </sheetView>
  </sheetViews>
  <sheetFormatPr defaultRowHeight="14.5" x14ac:dyDescent="0.35"/>
  <sheetData>
    <row r="1" spans="1:7" x14ac:dyDescent="0.35">
      <c r="A1" s="2" t="s">
        <v>40</v>
      </c>
      <c r="B1" s="2" t="s">
        <v>41</v>
      </c>
      <c r="C1" s="2" t="s">
        <v>42</v>
      </c>
      <c r="D1" s="2" t="s">
        <v>43</v>
      </c>
      <c r="E1" s="2" t="s">
        <v>4</v>
      </c>
      <c r="F1" s="2">
        <f>137/7.2</f>
        <v>19.027777777777779</v>
      </c>
      <c r="G1" s="2" t="s">
        <v>5</v>
      </c>
    </row>
    <row r="2" spans="1:7" x14ac:dyDescent="0.35">
      <c r="A2" s="2"/>
      <c r="B2" s="2"/>
      <c r="C2" s="2"/>
      <c r="D2" s="2"/>
      <c r="E2" s="2"/>
      <c r="F2" s="2"/>
      <c r="G2" s="2"/>
    </row>
    <row r="3" spans="1:7" x14ac:dyDescent="0.35">
      <c r="A3" s="2" t="s">
        <v>44</v>
      </c>
      <c r="B3" s="2" t="s">
        <v>45</v>
      </c>
      <c r="C3" s="2" t="s">
        <v>46</v>
      </c>
      <c r="D3" s="2" t="s">
        <v>47</v>
      </c>
      <c r="E3" s="2" t="s">
        <v>4</v>
      </c>
      <c r="F3" s="2">
        <f>13000/300</f>
        <v>43.333333333333336</v>
      </c>
      <c r="G3" s="2" t="s">
        <v>5</v>
      </c>
    </row>
    <row r="5" spans="1:7" x14ac:dyDescent="0.35">
      <c r="A5" t="s">
        <v>145</v>
      </c>
      <c r="B5" t="s">
        <v>142</v>
      </c>
      <c r="C5" t="s">
        <v>143</v>
      </c>
      <c r="D5" t="s">
        <v>144</v>
      </c>
      <c r="E5" t="s">
        <v>4</v>
      </c>
      <c r="F5">
        <f>764/30</f>
        <v>25.466666666666665</v>
      </c>
      <c r="G5" t="s">
        <v>10</v>
      </c>
    </row>
    <row r="7" spans="1:7" x14ac:dyDescent="0.35">
      <c r="A7" t="s">
        <v>221</v>
      </c>
      <c r="B7" t="s">
        <v>222</v>
      </c>
      <c r="C7" t="s">
        <v>223</v>
      </c>
      <c r="D7" t="s">
        <v>116</v>
      </c>
      <c r="E7" t="s">
        <v>4</v>
      </c>
      <c r="F7">
        <f>16/2.5</f>
        <v>6.4</v>
      </c>
      <c r="G7" t="s">
        <v>10</v>
      </c>
    </row>
    <row r="9" spans="1:7" x14ac:dyDescent="0.35">
      <c r="A9" s="2" t="s">
        <v>241</v>
      </c>
      <c r="B9" s="2" t="s">
        <v>242</v>
      </c>
      <c r="C9" s="2" t="s">
        <v>243</v>
      </c>
      <c r="D9" s="2" t="s">
        <v>116</v>
      </c>
      <c r="E9" s="2" t="s">
        <v>4</v>
      </c>
      <c r="F9" s="2">
        <f>287/2.5</f>
        <v>114.8</v>
      </c>
      <c r="G9" s="2" t="s">
        <v>5</v>
      </c>
    </row>
    <row r="10" spans="1:7" x14ac:dyDescent="0.35">
      <c r="A10" s="2"/>
      <c r="B10" s="2"/>
      <c r="C10" s="2"/>
      <c r="D10" s="2"/>
      <c r="E10" s="2"/>
      <c r="F10" s="2"/>
      <c r="G10" s="2"/>
    </row>
    <row r="11" spans="1:7" x14ac:dyDescent="0.35">
      <c r="A11" s="2" t="s">
        <v>322</v>
      </c>
      <c r="B11" s="2" t="s">
        <v>323</v>
      </c>
      <c r="C11" s="2" t="s">
        <v>324</v>
      </c>
      <c r="D11" s="2" t="s">
        <v>325</v>
      </c>
      <c r="E11" s="2" t="s">
        <v>4</v>
      </c>
      <c r="F11" s="2">
        <f>465/5.7</f>
        <v>81.578947368421055</v>
      </c>
      <c r="G11" s="2" t="s">
        <v>5</v>
      </c>
    </row>
    <row r="12" spans="1:7" x14ac:dyDescent="0.35">
      <c r="A12" s="2"/>
      <c r="B12" s="2"/>
      <c r="C12" s="2"/>
      <c r="D12" s="2"/>
      <c r="E12" s="2"/>
      <c r="F12" s="2"/>
      <c r="G12" s="2"/>
    </row>
    <row r="13" spans="1:7" x14ac:dyDescent="0.35">
      <c r="A13" s="2" t="s">
        <v>357</v>
      </c>
      <c r="B13" s="2" t="s">
        <v>358</v>
      </c>
      <c r="C13" s="2" t="s">
        <v>359</v>
      </c>
      <c r="D13" s="2" t="s">
        <v>134</v>
      </c>
      <c r="E13" s="2" t="s">
        <v>4</v>
      </c>
      <c r="F13" s="2">
        <f>296/12</f>
        <v>24.666666666666668</v>
      </c>
      <c r="G13" s="2" t="s">
        <v>5</v>
      </c>
    </row>
    <row r="15" spans="1:7" x14ac:dyDescent="0.35">
      <c r="A15" t="s">
        <v>398</v>
      </c>
      <c r="B15" t="s">
        <v>132</v>
      </c>
      <c r="C15" t="s">
        <v>399</v>
      </c>
      <c r="D15" t="s">
        <v>400</v>
      </c>
      <c r="E15" t="s">
        <v>4</v>
      </c>
      <c r="F15">
        <f>81/12.5</f>
        <v>6.48</v>
      </c>
      <c r="G15" t="s">
        <v>10</v>
      </c>
    </row>
    <row r="17" spans="1:7" x14ac:dyDescent="0.35">
      <c r="A17" t="s">
        <v>424</v>
      </c>
      <c r="B17" t="s">
        <v>425</v>
      </c>
      <c r="C17" t="s">
        <v>426</v>
      </c>
      <c r="D17" t="s">
        <v>427</v>
      </c>
      <c r="E17" t="s">
        <v>4</v>
      </c>
      <c r="F17">
        <f>919/76</f>
        <v>12.092105263157896</v>
      </c>
      <c r="G17" t="s">
        <v>10</v>
      </c>
    </row>
    <row r="19" spans="1:7" x14ac:dyDescent="0.35">
      <c r="A19" s="2" t="s">
        <v>439</v>
      </c>
      <c r="B19" s="2" t="s">
        <v>260</v>
      </c>
      <c r="C19" s="2" t="s">
        <v>440</v>
      </c>
      <c r="D19" s="2" t="s">
        <v>219</v>
      </c>
      <c r="E19" s="2" t="s">
        <v>4</v>
      </c>
      <c r="F19" s="2">
        <f>121/5.5</f>
        <v>22</v>
      </c>
      <c r="G19" s="2" t="s">
        <v>5</v>
      </c>
    </row>
    <row r="21" spans="1:7" x14ac:dyDescent="0.35">
      <c r="A21" t="s">
        <v>452</v>
      </c>
      <c r="B21" t="s">
        <v>453</v>
      </c>
      <c r="C21" t="s">
        <v>454</v>
      </c>
      <c r="D21" t="s">
        <v>455</v>
      </c>
      <c r="E21" t="s">
        <v>4</v>
      </c>
      <c r="F21">
        <f>330/11.25</f>
        <v>29.333333333333332</v>
      </c>
      <c r="G21" t="s">
        <v>5</v>
      </c>
    </row>
    <row r="22" spans="1:7" x14ac:dyDescent="0.35">
      <c r="D22" t="s">
        <v>366</v>
      </c>
      <c r="F22">
        <f>330/14</f>
        <v>23.571428571428573</v>
      </c>
      <c r="G22" t="s">
        <v>15</v>
      </c>
    </row>
    <row r="24" spans="1:7" x14ac:dyDescent="0.35">
      <c r="A24" s="2" t="s">
        <v>544</v>
      </c>
      <c r="B24" s="2" t="s">
        <v>545</v>
      </c>
      <c r="C24" s="2" t="s">
        <v>546</v>
      </c>
      <c r="D24" s="2" t="s">
        <v>265</v>
      </c>
      <c r="E24" s="2" t="s">
        <v>4</v>
      </c>
      <c r="F24" s="2">
        <f>1275/45</f>
        <v>28.333333333333332</v>
      </c>
      <c r="G24" s="2" t="s">
        <v>5</v>
      </c>
    </row>
    <row r="26" spans="1:7" x14ac:dyDescent="0.35">
      <c r="A26" t="s">
        <v>553</v>
      </c>
      <c r="B26" t="s">
        <v>382</v>
      </c>
      <c r="C26" t="s">
        <v>554</v>
      </c>
      <c r="D26" t="s">
        <v>258</v>
      </c>
      <c r="E26" t="s">
        <v>4</v>
      </c>
      <c r="F26">
        <f>32/5</f>
        <v>6.4</v>
      </c>
      <c r="G26" t="s">
        <v>10</v>
      </c>
    </row>
    <row r="28" spans="1:7" x14ac:dyDescent="0.35">
      <c r="A28" t="s">
        <v>678</v>
      </c>
      <c r="B28" t="s">
        <v>679</v>
      </c>
      <c r="C28" t="s">
        <v>680</v>
      </c>
      <c r="D28" t="s">
        <v>681</v>
      </c>
      <c r="E28" t="s">
        <v>4</v>
      </c>
      <c r="F28">
        <f>931/85</f>
        <v>10.952941176470588</v>
      </c>
      <c r="G28" t="s">
        <v>10</v>
      </c>
    </row>
    <row r="30" spans="1:7" x14ac:dyDescent="0.35">
      <c r="A30" s="2" t="s">
        <v>696</v>
      </c>
      <c r="B30" s="2" t="s">
        <v>697</v>
      </c>
      <c r="C30" s="2" t="s">
        <v>698</v>
      </c>
      <c r="D30" s="2" t="s">
        <v>19</v>
      </c>
      <c r="E30" s="2" t="s">
        <v>4</v>
      </c>
      <c r="F30" s="2">
        <f>252/9</f>
        <v>28</v>
      </c>
      <c r="G30" s="2" t="s">
        <v>5</v>
      </c>
    </row>
    <row r="32" spans="1:7" x14ac:dyDescent="0.35">
      <c r="A32" s="1" t="s">
        <v>730</v>
      </c>
      <c r="B32" s="1" t="s">
        <v>731</v>
      </c>
      <c r="C32" s="1" t="s">
        <v>732</v>
      </c>
      <c r="D32" s="1" t="s">
        <v>419</v>
      </c>
      <c r="E32" s="1" t="s">
        <v>4</v>
      </c>
      <c r="F32" s="1">
        <f>530/37</f>
        <v>14.324324324324325</v>
      </c>
      <c r="G32" s="1" t="s">
        <v>10</v>
      </c>
    </row>
    <row r="34" spans="1:7" x14ac:dyDescent="0.35">
      <c r="A34" t="s">
        <v>766</v>
      </c>
      <c r="B34" t="s">
        <v>767</v>
      </c>
      <c r="C34" t="s">
        <v>572</v>
      </c>
      <c r="D34" t="s">
        <v>768</v>
      </c>
      <c r="E34" t="s">
        <v>4</v>
      </c>
      <c r="F34">
        <f>1050/52</f>
        <v>20.192307692307693</v>
      </c>
      <c r="G34" t="s">
        <v>10</v>
      </c>
    </row>
    <row r="36" spans="1:7" x14ac:dyDescent="0.35">
      <c r="A36" t="s">
        <v>841</v>
      </c>
      <c r="B36" t="s">
        <v>358</v>
      </c>
      <c r="C36" t="s">
        <v>203</v>
      </c>
      <c r="D36" t="s">
        <v>19</v>
      </c>
      <c r="E36" t="s">
        <v>4</v>
      </c>
      <c r="F36">
        <f>290/9</f>
        <v>32.222222222222221</v>
      </c>
      <c r="G36" t="s">
        <v>5</v>
      </c>
    </row>
    <row r="38" spans="1:7" x14ac:dyDescent="0.35">
      <c r="A38" t="s">
        <v>862</v>
      </c>
      <c r="B38" t="s">
        <v>863</v>
      </c>
      <c r="C38" t="s">
        <v>864</v>
      </c>
      <c r="D38" t="s">
        <v>768</v>
      </c>
      <c r="E38" t="s">
        <v>4</v>
      </c>
      <c r="F38">
        <f>1800/52</f>
        <v>34.615384615384613</v>
      </c>
      <c r="G38" t="s">
        <v>5</v>
      </c>
    </row>
    <row r="40" spans="1:7" x14ac:dyDescent="0.35">
      <c r="A40" t="s">
        <v>895</v>
      </c>
      <c r="B40" t="s">
        <v>896</v>
      </c>
      <c r="C40" t="s">
        <v>897</v>
      </c>
      <c r="D40" t="s">
        <v>898</v>
      </c>
      <c r="E40" t="s">
        <v>4</v>
      </c>
      <c r="F40">
        <f>1000/51</f>
        <v>19.607843137254903</v>
      </c>
      <c r="G40" t="s">
        <v>5</v>
      </c>
    </row>
    <row r="42" spans="1:7" x14ac:dyDescent="0.35">
      <c r="A42" t="s">
        <v>901</v>
      </c>
      <c r="B42" t="s">
        <v>902</v>
      </c>
      <c r="C42" t="s">
        <v>903</v>
      </c>
      <c r="D42" t="s">
        <v>23</v>
      </c>
      <c r="E42" t="s">
        <v>4</v>
      </c>
      <c r="F42">
        <f>375/21</f>
        <v>17.857142857142858</v>
      </c>
      <c r="G42" t="s">
        <v>5</v>
      </c>
    </row>
    <row r="44" spans="1:7" x14ac:dyDescent="0.35">
      <c r="A44" t="s">
        <v>1006</v>
      </c>
      <c r="B44" t="s">
        <v>29</v>
      </c>
    </row>
    <row r="46" spans="1:7" x14ac:dyDescent="0.35">
      <c r="A46" t="s">
        <v>1133</v>
      </c>
      <c r="B46" t="s">
        <v>1134</v>
      </c>
      <c r="C46" t="s">
        <v>1135</v>
      </c>
      <c r="D46" t="s">
        <v>86</v>
      </c>
      <c r="E46" t="s">
        <v>4</v>
      </c>
      <c r="F46">
        <f>159/22</f>
        <v>7.2272727272727275</v>
      </c>
      <c r="G46" t="s">
        <v>10</v>
      </c>
    </row>
    <row r="48" spans="1:7" x14ac:dyDescent="0.35">
      <c r="A48" t="s">
        <v>1141</v>
      </c>
      <c r="B48" t="s">
        <v>703</v>
      </c>
      <c r="C48" t="s">
        <v>1142</v>
      </c>
      <c r="D48" t="s">
        <v>280</v>
      </c>
      <c r="E48" t="s">
        <v>4</v>
      </c>
      <c r="F48">
        <f>317/20</f>
        <v>15.85</v>
      </c>
      <c r="G48" t="s">
        <v>10</v>
      </c>
    </row>
    <row r="50" spans="1:7" x14ac:dyDescent="0.35">
      <c r="A50" t="s">
        <v>1145</v>
      </c>
      <c r="B50" t="s">
        <v>1146</v>
      </c>
      <c r="C50" t="s">
        <v>1147</v>
      </c>
      <c r="D50" t="s">
        <v>280</v>
      </c>
      <c r="E50" t="s">
        <v>4</v>
      </c>
      <c r="F50">
        <f>370/20</f>
        <v>18.5</v>
      </c>
      <c r="G50" t="s">
        <v>5</v>
      </c>
    </row>
    <row r="52" spans="1:7" x14ac:dyDescent="0.35">
      <c r="A52" t="s">
        <v>1153</v>
      </c>
      <c r="B52" t="s">
        <v>1154</v>
      </c>
      <c r="C52" t="s">
        <v>1155</v>
      </c>
      <c r="D52" t="s">
        <v>122</v>
      </c>
      <c r="E52" t="s">
        <v>4</v>
      </c>
      <c r="F52">
        <f>418/16</f>
        <v>26.125</v>
      </c>
      <c r="G52" t="s">
        <v>5</v>
      </c>
    </row>
    <row r="54" spans="1:7" x14ac:dyDescent="0.35">
      <c r="A54" t="s">
        <v>1169</v>
      </c>
      <c r="B54" t="s">
        <v>1170</v>
      </c>
      <c r="C54" t="s">
        <v>1171</v>
      </c>
      <c r="D54" t="s">
        <v>1172</v>
      </c>
      <c r="E54" t="s">
        <v>4</v>
      </c>
      <c r="F54">
        <f>115670/7500</f>
        <v>15.422666666666666</v>
      </c>
      <c r="G54" t="s">
        <v>10</v>
      </c>
    </row>
    <row r="56" spans="1:7" x14ac:dyDescent="0.35">
      <c r="A56" t="s">
        <v>1188</v>
      </c>
      <c r="B56" t="s">
        <v>1189</v>
      </c>
      <c r="C56" t="s">
        <v>1190</v>
      </c>
      <c r="D56" t="s">
        <v>1191</v>
      </c>
      <c r="E56" t="s">
        <v>4</v>
      </c>
      <c r="F56">
        <f>250/1</f>
        <v>250</v>
      </c>
      <c r="G56" t="s">
        <v>5</v>
      </c>
    </row>
    <row r="58" spans="1:7" x14ac:dyDescent="0.35">
      <c r="A58" t="s">
        <v>1194</v>
      </c>
      <c r="B58" t="s">
        <v>1195</v>
      </c>
      <c r="C58" t="s">
        <v>1196</v>
      </c>
      <c r="D58" t="s">
        <v>1197</v>
      </c>
      <c r="E58" t="s">
        <v>4</v>
      </c>
      <c r="F58">
        <f>14372/900</f>
        <v>15.968888888888889</v>
      </c>
      <c r="G58" t="s">
        <v>10</v>
      </c>
    </row>
    <row r="60" spans="1:7" x14ac:dyDescent="0.35">
      <c r="A60" t="s">
        <v>1243</v>
      </c>
      <c r="B60" t="s">
        <v>1244</v>
      </c>
      <c r="C60" t="s">
        <v>806</v>
      </c>
      <c r="D60" t="s">
        <v>1245</v>
      </c>
      <c r="E60" t="s">
        <v>4</v>
      </c>
      <c r="F60">
        <f>500/38</f>
        <v>13.157894736842104</v>
      </c>
      <c r="G60" t="s">
        <v>10</v>
      </c>
    </row>
    <row r="62" spans="1:7" x14ac:dyDescent="0.35">
      <c r="A62" t="s">
        <v>1265</v>
      </c>
      <c r="B62" t="s">
        <v>591</v>
      </c>
      <c r="C62" t="s">
        <v>1266</v>
      </c>
      <c r="D62" t="s">
        <v>86</v>
      </c>
      <c r="E62" t="s">
        <v>4</v>
      </c>
      <c r="F62">
        <f>777/22</f>
        <v>35.31818181818182</v>
      </c>
      <c r="G62" t="s">
        <v>5</v>
      </c>
    </row>
    <row r="64" spans="1:7" x14ac:dyDescent="0.35">
      <c r="A64" t="s">
        <v>1338</v>
      </c>
      <c r="B64" t="s">
        <v>1339</v>
      </c>
      <c r="C64" t="s">
        <v>1340</v>
      </c>
      <c r="D64" t="s">
        <v>1276</v>
      </c>
      <c r="E64" t="s">
        <v>4</v>
      </c>
      <c r="F64">
        <f>17000/150</f>
        <v>113.33333333333333</v>
      </c>
      <c r="G64" t="s">
        <v>5</v>
      </c>
    </row>
    <row r="66" spans="1:7" x14ac:dyDescent="0.35">
      <c r="A66" t="s">
        <v>1405</v>
      </c>
      <c r="B66" t="s">
        <v>1406</v>
      </c>
      <c r="C66" t="s">
        <v>1407</v>
      </c>
      <c r="D66" t="s">
        <v>1408</v>
      </c>
      <c r="E66" t="s">
        <v>4</v>
      </c>
      <c r="F66">
        <f>130/9.4</f>
        <v>13.829787234042552</v>
      </c>
      <c r="G66" t="s">
        <v>10</v>
      </c>
    </row>
    <row r="68" spans="1:7" x14ac:dyDescent="0.35">
      <c r="A68" t="s">
        <v>1419</v>
      </c>
      <c r="B68" t="s">
        <v>1420</v>
      </c>
      <c r="C68" t="s">
        <v>1421</v>
      </c>
      <c r="D68" t="s">
        <v>79</v>
      </c>
      <c r="E68" t="s">
        <v>4</v>
      </c>
      <c r="F68">
        <f>290/10</f>
        <v>29</v>
      </c>
      <c r="G68" t="s">
        <v>5</v>
      </c>
    </row>
    <row r="70" spans="1:7" x14ac:dyDescent="0.35">
      <c r="A70" t="s">
        <v>1448</v>
      </c>
      <c r="B70" t="s">
        <v>1449</v>
      </c>
      <c r="C70" t="s">
        <v>1450</v>
      </c>
      <c r="D70" t="s">
        <v>366</v>
      </c>
      <c r="E70" t="s">
        <v>4</v>
      </c>
      <c r="F70">
        <f>203/14</f>
        <v>14.5</v>
      </c>
      <c r="G70" t="s">
        <v>10</v>
      </c>
    </row>
    <row r="72" spans="1:7" x14ac:dyDescent="0.35">
      <c r="A72" t="s">
        <v>1515</v>
      </c>
      <c r="B72" t="s">
        <v>1516</v>
      </c>
      <c r="C72" t="s">
        <v>1517</v>
      </c>
      <c r="D72" t="s">
        <v>1518</v>
      </c>
      <c r="E72" t="s">
        <v>4</v>
      </c>
      <c r="F72">
        <f>5050/385</f>
        <v>13.116883116883116</v>
      </c>
      <c r="G72" t="s">
        <v>10</v>
      </c>
    </row>
    <row r="74" spans="1:7" x14ac:dyDescent="0.35">
      <c r="A74" t="s">
        <v>1519</v>
      </c>
      <c r="B74" t="s">
        <v>1449</v>
      </c>
      <c r="C74" t="s">
        <v>1520</v>
      </c>
      <c r="D74" t="s">
        <v>79</v>
      </c>
      <c r="E74" t="s">
        <v>4</v>
      </c>
      <c r="F74">
        <f>1150/10</f>
        <v>115</v>
      </c>
      <c r="G74" t="s">
        <v>5</v>
      </c>
    </row>
    <row r="76" spans="1:7" x14ac:dyDescent="0.35">
      <c r="A76" t="s">
        <v>1528</v>
      </c>
      <c r="B76" t="s">
        <v>1529</v>
      </c>
      <c r="C76" t="s">
        <v>1530</v>
      </c>
      <c r="D76" t="s">
        <v>79</v>
      </c>
      <c r="E76" t="s">
        <v>4</v>
      </c>
      <c r="F76">
        <f>179/10</f>
        <v>17.899999999999999</v>
      </c>
      <c r="G76" t="s">
        <v>5</v>
      </c>
    </row>
    <row r="78" spans="1:7" x14ac:dyDescent="0.35">
      <c r="A78" t="s">
        <v>1644</v>
      </c>
      <c r="B78" t="s">
        <v>1645</v>
      </c>
      <c r="C78" t="s">
        <v>1646</v>
      </c>
      <c r="D78" t="s">
        <v>509</v>
      </c>
      <c r="E78" t="s">
        <v>4</v>
      </c>
      <c r="F78">
        <f>1632/58</f>
        <v>28.137931034482758</v>
      </c>
      <c r="G78" t="s">
        <v>5</v>
      </c>
    </row>
    <row r="80" spans="1:7" x14ac:dyDescent="0.35">
      <c r="A80" t="s">
        <v>1686</v>
      </c>
      <c r="B80" t="s">
        <v>1687</v>
      </c>
      <c r="C80" t="s">
        <v>753</v>
      </c>
      <c r="D80" t="s">
        <v>463</v>
      </c>
      <c r="E80" t="s">
        <v>4</v>
      </c>
      <c r="F80">
        <f>272/24</f>
        <v>11.333333333333334</v>
      </c>
      <c r="G80" t="s">
        <v>10</v>
      </c>
    </row>
    <row r="82" spans="1:7" x14ac:dyDescent="0.35">
      <c r="A82" t="s">
        <v>1690</v>
      </c>
      <c r="B82" t="s">
        <v>628</v>
      </c>
      <c r="C82" t="s">
        <v>1691</v>
      </c>
      <c r="D82" t="s">
        <v>1692</v>
      </c>
      <c r="E82" t="s">
        <v>4</v>
      </c>
      <c r="F82">
        <f>491/25.15</f>
        <v>19.522862823061633</v>
      </c>
      <c r="G82" t="s">
        <v>5</v>
      </c>
    </row>
    <row r="84" spans="1:7" x14ac:dyDescent="0.35">
      <c r="A84" t="s">
        <v>1701</v>
      </c>
      <c r="B84" t="s">
        <v>1702</v>
      </c>
      <c r="C84" t="s">
        <v>129</v>
      </c>
      <c r="D84" t="s">
        <v>130</v>
      </c>
      <c r="E84" t="s">
        <v>4</v>
      </c>
      <c r="F84">
        <f>525/100</f>
        <v>5.25</v>
      </c>
      <c r="G84" t="s">
        <v>10</v>
      </c>
    </row>
    <row r="86" spans="1:7" x14ac:dyDescent="0.35">
      <c r="A86" t="s">
        <v>1724</v>
      </c>
      <c r="B86" t="s">
        <v>562</v>
      </c>
      <c r="C86" t="s">
        <v>1725</v>
      </c>
      <c r="D86" t="s">
        <v>157</v>
      </c>
      <c r="E86" t="s">
        <v>4</v>
      </c>
      <c r="F86">
        <f>65/2.7</f>
        <v>24.074074074074073</v>
      </c>
      <c r="G86" t="s">
        <v>5</v>
      </c>
    </row>
    <row r="88" spans="1:7" x14ac:dyDescent="0.35">
      <c r="A88" t="s">
        <v>1728</v>
      </c>
      <c r="B88" t="s">
        <v>1729</v>
      </c>
      <c r="C88" t="s">
        <v>1730</v>
      </c>
      <c r="D88" t="s">
        <v>247</v>
      </c>
      <c r="E88" t="s">
        <v>4</v>
      </c>
      <c r="F88">
        <f>623/8.5</f>
        <v>73.294117647058826</v>
      </c>
      <c r="G88" t="s">
        <v>5</v>
      </c>
    </row>
    <row r="90" spans="1:7" x14ac:dyDescent="0.35">
      <c r="A90" t="s">
        <v>1911</v>
      </c>
      <c r="B90" t="s">
        <v>186</v>
      </c>
      <c r="C90" t="s">
        <v>1912</v>
      </c>
      <c r="D90" t="s">
        <v>55</v>
      </c>
      <c r="E90" t="s">
        <v>4</v>
      </c>
      <c r="F90">
        <f>90/3.1</f>
        <v>29.032258064516128</v>
      </c>
      <c r="G90" t="s">
        <v>5</v>
      </c>
    </row>
    <row r="92" spans="1:7" x14ac:dyDescent="0.35">
      <c r="A92" t="s">
        <v>1728</v>
      </c>
      <c r="B92" t="s">
        <v>29</v>
      </c>
      <c r="C92" t="s">
        <v>1919</v>
      </c>
      <c r="D92" t="s">
        <v>19</v>
      </c>
      <c r="E92" t="s">
        <v>4</v>
      </c>
      <c r="F92">
        <f>600/9</f>
        <v>66.666666666666671</v>
      </c>
      <c r="G92" t="s">
        <v>5</v>
      </c>
    </row>
    <row r="94" spans="1:7" x14ac:dyDescent="0.35">
      <c r="A94" t="s">
        <v>1943</v>
      </c>
      <c r="B94" t="s">
        <v>1944</v>
      </c>
      <c r="C94" t="s">
        <v>1945</v>
      </c>
      <c r="D94" t="s">
        <v>1946</v>
      </c>
      <c r="E94" t="s">
        <v>4</v>
      </c>
      <c r="F94">
        <f>5350/189</f>
        <v>28.306878306878307</v>
      </c>
      <c r="G94" t="s">
        <v>10</v>
      </c>
    </row>
    <row r="96" spans="1:7" x14ac:dyDescent="0.35">
      <c r="A96" t="s">
        <v>2026</v>
      </c>
      <c r="B96" t="s">
        <v>637</v>
      </c>
      <c r="C96" t="s">
        <v>1379</v>
      </c>
      <c r="D96" t="s">
        <v>366</v>
      </c>
      <c r="E96" t="s">
        <v>4</v>
      </c>
      <c r="F96">
        <f>345/14</f>
        <v>24.642857142857142</v>
      </c>
      <c r="G96" t="s">
        <v>5</v>
      </c>
    </row>
    <row r="98" spans="1:7" x14ac:dyDescent="0.35">
      <c r="A98" t="s">
        <v>2079</v>
      </c>
      <c r="B98" t="s">
        <v>2080</v>
      </c>
      <c r="C98" t="s">
        <v>30</v>
      </c>
    </row>
    <row r="100" spans="1:7" x14ac:dyDescent="0.35">
      <c r="A100" t="s">
        <v>2091</v>
      </c>
      <c r="B100" t="s">
        <v>878</v>
      </c>
      <c r="C100" t="s">
        <v>2092</v>
      </c>
      <c r="D100" t="s">
        <v>819</v>
      </c>
      <c r="E100" t="s">
        <v>4</v>
      </c>
      <c r="F100">
        <f>965/29</f>
        <v>33.275862068965516</v>
      </c>
      <c r="G100" t="s">
        <v>5</v>
      </c>
    </row>
    <row r="102" spans="1:7" x14ac:dyDescent="0.35">
      <c r="A102" t="s">
        <v>2169</v>
      </c>
      <c r="B102" t="s">
        <v>697</v>
      </c>
      <c r="C102" t="s">
        <v>2170</v>
      </c>
      <c r="D102" t="s">
        <v>23</v>
      </c>
      <c r="E102" t="s">
        <v>4</v>
      </c>
      <c r="F102">
        <f>455/21</f>
        <v>21.666666666666668</v>
      </c>
      <c r="G102" t="s">
        <v>10</v>
      </c>
    </row>
    <row r="104" spans="1:7" x14ac:dyDescent="0.35">
      <c r="A104" t="s">
        <v>2185</v>
      </c>
      <c r="B104" t="s">
        <v>2186</v>
      </c>
      <c r="C104" t="s">
        <v>2187</v>
      </c>
      <c r="D104" t="s">
        <v>2188</v>
      </c>
      <c r="E104" t="s">
        <v>4</v>
      </c>
      <c r="F104">
        <f>11000/810</f>
        <v>13.580246913580247</v>
      </c>
      <c r="G104" t="s">
        <v>10</v>
      </c>
    </row>
    <row r="106" spans="1:7" x14ac:dyDescent="0.35">
      <c r="A106" t="s">
        <v>2213</v>
      </c>
      <c r="B106" t="s">
        <v>2214</v>
      </c>
      <c r="C106" t="s">
        <v>2215</v>
      </c>
      <c r="D106" t="s">
        <v>872</v>
      </c>
      <c r="E106" t="s">
        <v>4</v>
      </c>
      <c r="F106">
        <f>274/18.5</f>
        <v>14.810810810810811</v>
      </c>
      <c r="G106" t="s">
        <v>10</v>
      </c>
    </row>
    <row r="108" spans="1:7" x14ac:dyDescent="0.35">
      <c r="A108" t="s">
        <v>2228</v>
      </c>
      <c r="B108" t="s">
        <v>2229</v>
      </c>
      <c r="C108" t="s">
        <v>2230</v>
      </c>
      <c r="D108" t="s">
        <v>772</v>
      </c>
      <c r="E108" t="s">
        <v>4</v>
      </c>
      <c r="F108">
        <f>461/44</f>
        <v>10.477272727272727</v>
      </c>
      <c r="G108" t="s">
        <v>10</v>
      </c>
    </row>
    <row r="110" spans="1:7" x14ac:dyDescent="0.35">
      <c r="A110" t="s">
        <v>2253</v>
      </c>
      <c r="B110" t="s">
        <v>2254</v>
      </c>
      <c r="C110" t="s">
        <v>2255</v>
      </c>
      <c r="D110" t="s">
        <v>1472</v>
      </c>
      <c r="E110" t="s">
        <v>4</v>
      </c>
      <c r="F110">
        <f>150/15.7</f>
        <v>9.5541401273885356</v>
      </c>
      <c r="G110" t="s">
        <v>10</v>
      </c>
    </row>
    <row r="112" spans="1:7" x14ac:dyDescent="0.35">
      <c r="A112" t="s">
        <v>2272</v>
      </c>
      <c r="B112" t="s">
        <v>29</v>
      </c>
      <c r="C112" t="s">
        <v>970</v>
      </c>
      <c r="D112" t="s">
        <v>79</v>
      </c>
      <c r="E112" t="s">
        <v>4</v>
      </c>
      <c r="F112">
        <f>1300/10</f>
        <v>130</v>
      </c>
      <c r="G112" t="s">
        <v>5</v>
      </c>
    </row>
    <row r="114" spans="1:7" x14ac:dyDescent="0.35">
      <c r="A114" t="s">
        <v>2342</v>
      </c>
      <c r="B114" t="s">
        <v>2343</v>
      </c>
      <c r="C114" t="s">
        <v>2087</v>
      </c>
      <c r="D114" t="s">
        <v>258</v>
      </c>
      <c r="E114" t="s">
        <v>4</v>
      </c>
      <c r="F114">
        <f>135/5</f>
        <v>27</v>
      </c>
      <c r="G114" t="s">
        <v>5</v>
      </c>
    </row>
    <row r="116" spans="1:7" x14ac:dyDescent="0.35">
      <c r="A116" t="s">
        <v>2435</v>
      </c>
      <c r="B116" t="s">
        <v>2436</v>
      </c>
      <c r="C116" t="s">
        <v>2437</v>
      </c>
      <c r="D116" t="s">
        <v>116</v>
      </c>
      <c r="E116" t="s">
        <v>4</v>
      </c>
      <c r="F116">
        <f>36/2.5</f>
        <v>14.4</v>
      </c>
      <c r="G116" t="s">
        <v>10</v>
      </c>
    </row>
    <row r="118" spans="1:7" x14ac:dyDescent="0.35">
      <c r="A118" t="s">
        <v>2524</v>
      </c>
      <c r="B118" t="s">
        <v>2409</v>
      </c>
      <c r="C118" t="s">
        <v>30</v>
      </c>
    </row>
    <row r="120" spans="1:7" x14ac:dyDescent="0.35">
      <c r="A120" t="s">
        <v>2551</v>
      </c>
      <c r="B120" t="s">
        <v>2552</v>
      </c>
      <c r="C120" t="s">
        <v>2553</v>
      </c>
      <c r="D120" t="s">
        <v>309</v>
      </c>
      <c r="E120" t="s">
        <v>4</v>
      </c>
      <c r="F120">
        <f>98/17</f>
        <v>5.7647058823529411</v>
      </c>
      <c r="G120" t="s">
        <v>10</v>
      </c>
    </row>
    <row r="122" spans="1:7" x14ac:dyDescent="0.35">
      <c r="A122" t="s">
        <v>2598</v>
      </c>
      <c r="B122" t="s">
        <v>2599</v>
      </c>
      <c r="C122" t="s">
        <v>765</v>
      </c>
      <c r="D122" t="s">
        <v>265</v>
      </c>
      <c r="E122" t="s">
        <v>4</v>
      </c>
      <c r="F122">
        <f>792/45</f>
        <v>17.600000000000001</v>
      </c>
      <c r="G122" t="s">
        <v>10</v>
      </c>
    </row>
    <row r="124" spans="1:7" x14ac:dyDescent="0.35">
      <c r="A124" t="s">
        <v>2623</v>
      </c>
      <c r="B124" t="s">
        <v>2624</v>
      </c>
      <c r="C124" t="s">
        <v>2625</v>
      </c>
      <c r="D124" t="s">
        <v>27</v>
      </c>
      <c r="E124" t="s">
        <v>4</v>
      </c>
      <c r="F124">
        <f>240/35</f>
        <v>6.8571428571428568</v>
      </c>
      <c r="G124" t="s">
        <v>10</v>
      </c>
    </row>
    <row r="126" spans="1:7" x14ac:dyDescent="0.35">
      <c r="A126" t="s">
        <v>2729</v>
      </c>
      <c r="B126" t="s">
        <v>2730</v>
      </c>
      <c r="C126" t="s">
        <v>2731</v>
      </c>
      <c r="D126" t="s">
        <v>2732</v>
      </c>
      <c r="E126" t="s">
        <v>4</v>
      </c>
      <c r="F126">
        <f>2712/270</f>
        <v>10.044444444444444</v>
      </c>
      <c r="G126" t="s">
        <v>10</v>
      </c>
    </row>
    <row r="128" spans="1:7" x14ac:dyDescent="0.35">
      <c r="A128" t="s">
        <v>2761</v>
      </c>
      <c r="B128" t="s">
        <v>2762</v>
      </c>
      <c r="C128" t="s">
        <v>2763</v>
      </c>
      <c r="D128" t="s">
        <v>961</v>
      </c>
      <c r="E128" t="s">
        <v>4</v>
      </c>
      <c r="F128">
        <f>1327/83</f>
        <v>15.987951807228916</v>
      </c>
      <c r="G128" t="s">
        <v>10</v>
      </c>
    </row>
    <row r="130" spans="1:7" x14ac:dyDescent="0.35">
      <c r="A130" t="s">
        <v>2861</v>
      </c>
      <c r="B130" t="s">
        <v>2862</v>
      </c>
      <c r="C130" t="s">
        <v>2863</v>
      </c>
      <c r="D130" t="s">
        <v>391</v>
      </c>
      <c r="E130" t="s">
        <v>4</v>
      </c>
      <c r="F130">
        <f>417/73</f>
        <v>5.7123287671232879</v>
      </c>
      <c r="G130" t="s">
        <v>10</v>
      </c>
    </row>
    <row r="132" spans="1:7" x14ac:dyDescent="0.35">
      <c r="A132" t="s">
        <v>1644</v>
      </c>
      <c r="B132" t="s">
        <v>2630</v>
      </c>
      <c r="C132" t="s">
        <v>2943</v>
      </c>
      <c r="D132" t="s">
        <v>2944</v>
      </c>
      <c r="E132" t="s">
        <v>4</v>
      </c>
      <c r="F132">
        <f>1715/122</f>
        <v>14.057377049180328</v>
      </c>
      <c r="G132" t="s">
        <v>10</v>
      </c>
    </row>
    <row r="134" spans="1:7" x14ac:dyDescent="0.35">
      <c r="A134" t="s">
        <v>3006</v>
      </c>
      <c r="B134" t="s">
        <v>761</v>
      </c>
      <c r="C134" t="s">
        <v>622</v>
      </c>
      <c r="D134" t="s">
        <v>613</v>
      </c>
      <c r="E134" t="s">
        <v>4</v>
      </c>
      <c r="F134">
        <f>230/40</f>
        <v>5.75</v>
      </c>
      <c r="G134" t="s">
        <v>10</v>
      </c>
    </row>
    <row r="136" spans="1:7" x14ac:dyDescent="0.35">
      <c r="A136" t="s">
        <v>3009</v>
      </c>
      <c r="B136" t="s">
        <v>3010</v>
      </c>
      <c r="C136" t="s">
        <v>3011</v>
      </c>
      <c r="D136" t="s">
        <v>593</v>
      </c>
      <c r="E136" t="s">
        <v>4</v>
      </c>
      <c r="F136">
        <f>213/27</f>
        <v>7.8888888888888893</v>
      </c>
      <c r="G136" t="s">
        <v>10</v>
      </c>
    </row>
    <row r="138" spans="1:7" x14ac:dyDescent="0.35">
      <c r="A138" t="s">
        <v>3042</v>
      </c>
      <c r="B138" t="s">
        <v>795</v>
      </c>
      <c r="C138" t="s">
        <v>3043</v>
      </c>
      <c r="D138" t="s">
        <v>164</v>
      </c>
      <c r="E138" t="s">
        <v>4</v>
      </c>
      <c r="F138">
        <f>165/25</f>
        <v>6.6</v>
      </c>
      <c r="G138" t="s">
        <v>10</v>
      </c>
    </row>
    <row r="140" spans="1:7" x14ac:dyDescent="0.35">
      <c r="A140" t="s">
        <v>3066</v>
      </c>
      <c r="B140" t="s">
        <v>1151</v>
      </c>
      <c r="C140" t="s">
        <v>3067</v>
      </c>
      <c r="D140" t="s">
        <v>387</v>
      </c>
      <c r="E140" t="s">
        <v>4</v>
      </c>
      <c r="F140">
        <f>158/7</f>
        <v>22.571428571428573</v>
      </c>
      <c r="G140" t="s">
        <v>5</v>
      </c>
    </row>
    <row r="142" spans="1:7" x14ac:dyDescent="0.35">
      <c r="A142" t="s">
        <v>3094</v>
      </c>
      <c r="B142" t="s">
        <v>1139</v>
      </c>
      <c r="C142" t="s">
        <v>3095</v>
      </c>
      <c r="D142" t="s">
        <v>79</v>
      </c>
      <c r="E142" t="s">
        <v>4</v>
      </c>
      <c r="F142">
        <f>189/10</f>
        <v>18.899999999999999</v>
      </c>
      <c r="G142" t="s">
        <v>10</v>
      </c>
    </row>
    <row r="144" spans="1:7" x14ac:dyDescent="0.35">
      <c r="A144" t="s">
        <v>3131</v>
      </c>
      <c r="B144" t="s">
        <v>3132</v>
      </c>
      <c r="C144" t="s">
        <v>3133</v>
      </c>
      <c r="D144" t="s">
        <v>3134</v>
      </c>
      <c r="E144" t="s">
        <v>4</v>
      </c>
      <c r="F144">
        <f>3400/760</f>
        <v>4.4736842105263159</v>
      </c>
      <c r="G144" t="s">
        <v>10</v>
      </c>
    </row>
    <row r="146" spans="1:7" x14ac:dyDescent="0.35">
      <c r="A146" t="s">
        <v>3156</v>
      </c>
      <c r="B146" t="s">
        <v>2248</v>
      </c>
      <c r="C146" t="s">
        <v>1513</v>
      </c>
      <c r="D146" t="s">
        <v>3157</v>
      </c>
      <c r="E146" t="s">
        <v>4</v>
      </c>
      <c r="F146">
        <f>12/1.45</f>
        <v>8.2758620689655178</v>
      </c>
      <c r="G146" t="s">
        <v>10</v>
      </c>
    </row>
    <row r="148" spans="1:7" x14ac:dyDescent="0.35">
      <c r="A148" t="s">
        <v>3278</v>
      </c>
      <c r="B148" t="s">
        <v>1502</v>
      </c>
      <c r="C148" t="s">
        <v>3279</v>
      </c>
      <c r="D148" t="s">
        <v>79</v>
      </c>
      <c r="E148" t="s">
        <v>4</v>
      </c>
      <c r="F148">
        <f>325/10</f>
        <v>32.5</v>
      </c>
      <c r="G148" t="s">
        <v>5</v>
      </c>
    </row>
    <row r="150" spans="1:7" x14ac:dyDescent="0.35">
      <c r="A150" t="s">
        <v>3306</v>
      </c>
      <c r="B150" t="s">
        <v>1970</v>
      </c>
      <c r="C150" t="s">
        <v>1258</v>
      </c>
      <c r="D150" t="s">
        <v>219</v>
      </c>
      <c r="E150" t="s">
        <v>4</v>
      </c>
      <c r="F150">
        <f>68/5.5</f>
        <v>12.363636363636363</v>
      </c>
      <c r="G150" t="s">
        <v>10</v>
      </c>
    </row>
    <row r="152" spans="1:7" x14ac:dyDescent="0.35">
      <c r="A152" t="s">
        <v>3332</v>
      </c>
      <c r="B152" t="s">
        <v>3333</v>
      </c>
      <c r="C152" t="s">
        <v>1275</v>
      </c>
      <c r="D152" t="s">
        <v>1276</v>
      </c>
      <c r="E152" t="s">
        <v>4</v>
      </c>
      <c r="F152">
        <f>498/15</f>
        <v>33.200000000000003</v>
      </c>
      <c r="G152" t="s">
        <v>5</v>
      </c>
    </row>
    <row r="154" spans="1:7" x14ac:dyDescent="0.35">
      <c r="A154" t="s">
        <v>3372</v>
      </c>
      <c r="B154" t="s">
        <v>1671</v>
      </c>
      <c r="C154" t="s">
        <v>1555</v>
      </c>
      <c r="D154" t="s">
        <v>968</v>
      </c>
      <c r="E154" t="s">
        <v>4</v>
      </c>
      <c r="F154">
        <f>105/8.8</f>
        <v>11.931818181818182</v>
      </c>
      <c r="G154" t="s">
        <v>10</v>
      </c>
    </row>
    <row r="156" spans="1:7" x14ac:dyDescent="0.35">
      <c r="A156" t="s">
        <v>3406</v>
      </c>
      <c r="B156" t="s">
        <v>2506</v>
      </c>
      <c r="C156" t="s">
        <v>422</v>
      </c>
      <c r="D156" t="s">
        <v>134</v>
      </c>
      <c r="E156" t="s">
        <v>4</v>
      </c>
      <c r="F156">
        <f>300/12</f>
        <v>25</v>
      </c>
      <c r="G156" t="s">
        <v>5</v>
      </c>
    </row>
    <row r="158" spans="1:7" x14ac:dyDescent="0.35">
      <c r="A158" t="s">
        <v>3591</v>
      </c>
      <c r="B158" t="s">
        <v>2896</v>
      </c>
      <c r="C158" t="s">
        <v>143</v>
      </c>
      <c r="D158" t="s">
        <v>144</v>
      </c>
      <c r="E158" t="s">
        <v>4</v>
      </c>
      <c r="F158">
        <f>300/30</f>
        <v>10</v>
      </c>
      <c r="G158" t="s">
        <v>10</v>
      </c>
    </row>
    <row r="160" spans="1:7" x14ac:dyDescent="0.35">
      <c r="A160" t="s">
        <v>3718</v>
      </c>
      <c r="B160" t="s">
        <v>2019</v>
      </c>
      <c r="C160" t="s">
        <v>3719</v>
      </c>
      <c r="D160" t="s">
        <v>35</v>
      </c>
      <c r="E160" t="s">
        <v>4</v>
      </c>
      <c r="F160">
        <f>89/6</f>
        <v>14.833333333333334</v>
      </c>
      <c r="G160" t="s">
        <v>10</v>
      </c>
    </row>
    <row r="162" spans="1:7" x14ac:dyDescent="0.35">
      <c r="A162" t="s">
        <v>3726</v>
      </c>
      <c r="B162" t="s">
        <v>690</v>
      </c>
      <c r="C162" t="s">
        <v>1393</v>
      </c>
      <c r="D162" t="s">
        <v>932</v>
      </c>
      <c r="E162" t="s">
        <v>4</v>
      </c>
      <c r="F162">
        <f>4000/250</f>
        <v>16</v>
      </c>
      <c r="G162" t="s">
        <v>10</v>
      </c>
    </row>
    <row r="164" spans="1:7" x14ac:dyDescent="0.35">
      <c r="A164" t="s">
        <v>3858</v>
      </c>
      <c r="B164" t="s">
        <v>3859</v>
      </c>
      <c r="C164" t="s">
        <v>2132</v>
      </c>
      <c r="D164" t="s">
        <v>352</v>
      </c>
      <c r="E164" t="s">
        <v>4</v>
      </c>
      <c r="F164">
        <f>315/18</f>
        <v>17.5</v>
      </c>
      <c r="G164" t="s">
        <v>5</v>
      </c>
    </row>
    <row r="166" spans="1:7" x14ac:dyDescent="0.35">
      <c r="A166" t="s">
        <v>3879</v>
      </c>
      <c r="B166" t="s">
        <v>2646</v>
      </c>
      <c r="C166" t="s">
        <v>1443</v>
      </c>
      <c r="D166" t="s">
        <v>164</v>
      </c>
      <c r="E166" t="s">
        <v>4</v>
      </c>
      <c r="F166">
        <f>96/25</f>
        <v>3.84</v>
      </c>
      <c r="G166" t="s">
        <v>10</v>
      </c>
    </row>
    <row r="168" spans="1:7" x14ac:dyDescent="0.35">
      <c r="A168" t="s">
        <v>4042</v>
      </c>
      <c r="B168" t="s">
        <v>1317</v>
      </c>
      <c r="C168" t="s">
        <v>622</v>
      </c>
      <c r="D168" t="s">
        <v>130</v>
      </c>
      <c r="E168" t="s">
        <v>4</v>
      </c>
      <c r="F168">
        <f>4930/100</f>
        <v>49.3</v>
      </c>
      <c r="G168" t="s">
        <v>5</v>
      </c>
    </row>
    <row r="170" spans="1:7" x14ac:dyDescent="0.35">
      <c r="A170" t="s">
        <v>4050</v>
      </c>
      <c r="B170" t="s">
        <v>4051</v>
      </c>
      <c r="C170" t="s">
        <v>4052</v>
      </c>
      <c r="D170" t="s">
        <v>1208</v>
      </c>
      <c r="E170" t="s">
        <v>4</v>
      </c>
      <c r="F170">
        <f>6050/140</f>
        <v>43.214285714285715</v>
      </c>
      <c r="G170" t="s">
        <v>5</v>
      </c>
    </row>
    <row r="172" spans="1:7" x14ac:dyDescent="0.35">
      <c r="A172" t="s">
        <v>4070</v>
      </c>
      <c r="B172" t="s">
        <v>4071</v>
      </c>
      <c r="C172" t="s">
        <v>4072</v>
      </c>
      <c r="D172" t="s">
        <v>536</v>
      </c>
      <c r="E172" t="s">
        <v>4</v>
      </c>
      <c r="F172">
        <f>415/50</f>
        <v>8.3000000000000007</v>
      </c>
      <c r="G172" t="s">
        <v>10</v>
      </c>
    </row>
    <row r="174" spans="1:7" x14ac:dyDescent="0.35">
      <c r="A174" t="s">
        <v>4115</v>
      </c>
      <c r="B174" t="s">
        <v>4116</v>
      </c>
      <c r="C174" t="s">
        <v>1158</v>
      </c>
      <c r="D174" t="s">
        <v>626</v>
      </c>
      <c r="E174" t="s">
        <v>4</v>
      </c>
      <c r="F174">
        <f>263/39</f>
        <v>6.7435897435897436</v>
      </c>
      <c r="G174" t="s">
        <v>10</v>
      </c>
    </row>
    <row r="176" spans="1:7" x14ac:dyDescent="0.35">
      <c r="A176" t="s">
        <v>4129</v>
      </c>
      <c r="B176" t="s">
        <v>4130</v>
      </c>
      <c r="C176" t="s">
        <v>4131</v>
      </c>
      <c r="E176" t="s">
        <v>4</v>
      </c>
      <c r="F176">
        <f>263/25</f>
        <v>10.52</v>
      </c>
      <c r="G176" t="s">
        <v>10</v>
      </c>
    </row>
    <row r="178" spans="1:6" x14ac:dyDescent="0.35">
      <c r="A178" t="s">
        <v>4258</v>
      </c>
      <c r="B178" t="s">
        <v>4259</v>
      </c>
      <c r="C178" t="s">
        <v>4260</v>
      </c>
      <c r="D178" t="s">
        <v>4261</v>
      </c>
      <c r="E178" t="s">
        <v>4</v>
      </c>
      <c r="F178">
        <f>1210/800</f>
        <v>1.5125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76EE-A88E-4464-89AD-80B6D635F00C}">
  <dimension ref="A1:H91"/>
  <sheetViews>
    <sheetView topLeftCell="A64" workbookViewId="0">
      <selection activeCell="A93" sqref="A93"/>
    </sheetView>
  </sheetViews>
  <sheetFormatPr defaultRowHeight="14.5" x14ac:dyDescent="0.35"/>
  <sheetData>
    <row r="1" spans="1:8" x14ac:dyDescent="0.35">
      <c r="A1" t="s">
        <v>179</v>
      </c>
      <c r="B1" t="s">
        <v>180</v>
      </c>
      <c r="C1" t="s">
        <v>181</v>
      </c>
      <c r="D1" t="s">
        <v>182</v>
      </c>
      <c r="E1" t="s">
        <v>4</v>
      </c>
      <c r="F1">
        <f>160/16</f>
        <v>10</v>
      </c>
      <c r="G1" t="s">
        <v>10</v>
      </c>
    </row>
    <row r="3" spans="1:8" x14ac:dyDescent="0.35">
      <c r="A3" s="2" t="s">
        <v>360</v>
      </c>
      <c r="B3" s="2" t="s">
        <v>361</v>
      </c>
      <c r="C3" s="2" t="s">
        <v>362</v>
      </c>
      <c r="D3" s="2" t="s">
        <v>63</v>
      </c>
      <c r="E3" s="2" t="s">
        <v>4</v>
      </c>
      <c r="F3" s="2">
        <f>1470/60</f>
        <v>24.5</v>
      </c>
      <c r="G3" s="2" t="s">
        <v>5</v>
      </c>
      <c r="H3" s="2"/>
    </row>
    <row r="5" spans="1:8" x14ac:dyDescent="0.35">
      <c r="A5" t="s">
        <v>510</v>
      </c>
      <c r="B5" t="s">
        <v>511</v>
      </c>
      <c r="C5" t="s">
        <v>512</v>
      </c>
      <c r="D5" t="s">
        <v>309</v>
      </c>
      <c r="E5" t="s">
        <v>4</v>
      </c>
      <c r="F5">
        <f>395/17</f>
        <v>23.235294117647058</v>
      </c>
      <c r="G5" t="s">
        <v>5</v>
      </c>
    </row>
    <row r="7" spans="1:8" x14ac:dyDescent="0.35">
      <c r="A7" s="1" t="s">
        <v>651</v>
      </c>
      <c r="B7" s="1" t="s">
        <v>652</v>
      </c>
      <c r="C7" s="1" t="s">
        <v>653</v>
      </c>
      <c r="D7" s="1" t="s">
        <v>654</v>
      </c>
      <c r="E7" s="1" t="s">
        <v>4</v>
      </c>
      <c r="F7" s="1">
        <f>429/77</f>
        <v>5.5714285714285712</v>
      </c>
      <c r="G7" s="1" t="s">
        <v>10</v>
      </c>
    </row>
    <row r="9" spans="1:8" x14ac:dyDescent="0.35">
      <c r="A9" t="s">
        <v>787</v>
      </c>
      <c r="B9" t="s">
        <v>405</v>
      </c>
      <c r="C9" t="s">
        <v>788</v>
      </c>
      <c r="D9" t="s">
        <v>35</v>
      </c>
      <c r="E9" t="s">
        <v>4</v>
      </c>
      <c r="F9">
        <f>548/6</f>
        <v>91.333333333333329</v>
      </c>
      <c r="G9" t="s">
        <v>5</v>
      </c>
    </row>
    <row r="11" spans="1:8" x14ac:dyDescent="0.35">
      <c r="A11" t="s">
        <v>794</v>
      </c>
      <c r="B11" t="s">
        <v>795</v>
      </c>
      <c r="C11" t="s">
        <v>796</v>
      </c>
      <c r="D11" t="s">
        <v>280</v>
      </c>
      <c r="E11" t="s">
        <v>4</v>
      </c>
      <c r="F11">
        <f>440/20</f>
        <v>22</v>
      </c>
      <c r="G11" t="s">
        <v>5</v>
      </c>
    </row>
    <row r="13" spans="1:8" x14ac:dyDescent="0.35">
      <c r="A13" s="1" t="s">
        <v>797</v>
      </c>
      <c r="B13" s="1" t="s">
        <v>798</v>
      </c>
      <c r="C13" s="1" t="s">
        <v>799</v>
      </c>
      <c r="D13" s="1" t="s">
        <v>280</v>
      </c>
      <c r="E13" s="1" t="s">
        <v>4</v>
      </c>
      <c r="F13" s="1">
        <f>300/20</f>
        <v>15</v>
      </c>
      <c r="G13" s="1" t="s">
        <v>10</v>
      </c>
    </row>
    <row r="15" spans="1:8" x14ac:dyDescent="0.35">
      <c r="A15" s="1" t="s">
        <v>845</v>
      </c>
      <c r="B15" s="1" t="s">
        <v>846</v>
      </c>
      <c r="C15" s="1" t="s">
        <v>847</v>
      </c>
      <c r="D15" s="1" t="s">
        <v>848</v>
      </c>
      <c r="E15" s="1" t="s">
        <v>4</v>
      </c>
      <c r="F15" s="1">
        <f>349/64</f>
        <v>5.453125</v>
      </c>
      <c r="G15" s="1" t="s">
        <v>10</v>
      </c>
    </row>
    <row r="17" spans="1:7" x14ac:dyDescent="0.35">
      <c r="A17" s="1" t="s">
        <v>853</v>
      </c>
      <c r="B17" s="1" t="s">
        <v>854</v>
      </c>
      <c r="C17" s="1" t="s">
        <v>855</v>
      </c>
      <c r="D17" s="1" t="s">
        <v>287</v>
      </c>
      <c r="E17" s="1" t="s">
        <v>4</v>
      </c>
      <c r="F17" s="1">
        <f>163/12.5</f>
        <v>13.04</v>
      </c>
      <c r="G17" s="1" t="s">
        <v>10</v>
      </c>
    </row>
    <row r="19" spans="1:7" x14ac:dyDescent="0.35">
      <c r="A19" t="s">
        <v>951</v>
      </c>
      <c r="B19" t="s">
        <v>952</v>
      </c>
      <c r="C19" t="s">
        <v>953</v>
      </c>
      <c r="D19" t="s">
        <v>459</v>
      </c>
      <c r="E19" t="s">
        <v>4</v>
      </c>
      <c r="F19">
        <f>842/170</f>
        <v>4.9529411764705884</v>
      </c>
      <c r="G19" t="s">
        <v>10</v>
      </c>
    </row>
    <row r="21" spans="1:7" x14ac:dyDescent="0.35">
      <c r="A21" t="s">
        <v>1259</v>
      </c>
      <c r="B21" t="s">
        <v>29</v>
      </c>
      <c r="C21" t="s">
        <v>1260</v>
      </c>
      <c r="D21" t="s">
        <v>1261</v>
      </c>
      <c r="E21" t="s">
        <v>4</v>
      </c>
      <c r="F21">
        <f>477/74</f>
        <v>6.4459459459459456</v>
      </c>
      <c r="G21" t="s">
        <v>10</v>
      </c>
    </row>
    <row r="23" spans="1:7" x14ac:dyDescent="0.35">
      <c r="A23" t="s">
        <v>1377</v>
      </c>
      <c r="B23" t="s">
        <v>1378</v>
      </c>
      <c r="C23" t="s">
        <v>1379</v>
      </c>
      <c r="D23" t="s">
        <v>178</v>
      </c>
      <c r="E23" t="s">
        <v>4</v>
      </c>
      <c r="F23">
        <f>420/15</f>
        <v>28</v>
      </c>
      <c r="G23" t="s">
        <v>5</v>
      </c>
    </row>
    <row r="25" spans="1:7" x14ac:dyDescent="0.35">
      <c r="A25" t="s">
        <v>1484</v>
      </c>
      <c r="B25" t="s">
        <v>296</v>
      </c>
      <c r="C25" t="s">
        <v>1485</v>
      </c>
      <c r="D25" t="s">
        <v>122</v>
      </c>
      <c r="E25" t="s">
        <v>4</v>
      </c>
      <c r="F25">
        <f>800/16</f>
        <v>50</v>
      </c>
      <c r="G25" t="s">
        <v>5</v>
      </c>
    </row>
    <row r="27" spans="1:7" x14ac:dyDescent="0.35">
      <c r="A27" t="s">
        <v>1819</v>
      </c>
      <c r="B27" t="s">
        <v>1820</v>
      </c>
      <c r="C27" t="s">
        <v>1821</v>
      </c>
      <c r="D27" t="s">
        <v>1822</v>
      </c>
      <c r="E27" t="s">
        <v>4</v>
      </c>
      <c r="F27">
        <f>167/12.35</f>
        <v>13.522267206477734</v>
      </c>
      <c r="G27" t="s">
        <v>10</v>
      </c>
    </row>
    <row r="29" spans="1:7" x14ac:dyDescent="0.35">
      <c r="A29" t="s">
        <v>1862</v>
      </c>
      <c r="B29" t="s">
        <v>1863</v>
      </c>
      <c r="C29" t="s">
        <v>1864</v>
      </c>
      <c r="D29" t="s">
        <v>1865</v>
      </c>
      <c r="E29" t="s">
        <v>4</v>
      </c>
      <c r="F29">
        <f>271/7.9</f>
        <v>34.303797468354432</v>
      </c>
      <c r="G29" t="s">
        <v>5</v>
      </c>
    </row>
    <row r="31" spans="1:7" x14ac:dyDescent="0.35">
      <c r="A31" t="s">
        <v>1991</v>
      </c>
      <c r="B31" t="s">
        <v>1992</v>
      </c>
      <c r="C31" t="s">
        <v>1993</v>
      </c>
      <c r="D31" t="s">
        <v>1720</v>
      </c>
      <c r="E31" t="s">
        <v>4</v>
      </c>
      <c r="F31">
        <f>1430/114</f>
        <v>12.543859649122806</v>
      </c>
      <c r="G31" t="s">
        <v>10</v>
      </c>
    </row>
    <row r="33" spans="1:7" x14ac:dyDescent="0.35">
      <c r="A33" t="s">
        <v>1999</v>
      </c>
      <c r="B33" t="s">
        <v>2000</v>
      </c>
      <c r="C33" t="s">
        <v>2001</v>
      </c>
      <c r="D33" t="s">
        <v>1678</v>
      </c>
      <c r="E33" t="s">
        <v>4</v>
      </c>
      <c r="F33">
        <f>59/6.8</f>
        <v>8.6764705882352935</v>
      </c>
    </row>
    <row r="34" spans="1:7" x14ac:dyDescent="0.35">
      <c r="C34" t="s">
        <v>2002</v>
      </c>
      <c r="D34" t="s">
        <v>188</v>
      </c>
      <c r="F34">
        <f>59/3.5</f>
        <v>16.857142857142858</v>
      </c>
      <c r="G34" t="s">
        <v>597</v>
      </c>
    </row>
    <row r="36" spans="1:7" x14ac:dyDescent="0.35">
      <c r="A36" t="s">
        <v>2027</v>
      </c>
      <c r="B36" t="s">
        <v>538</v>
      </c>
      <c r="C36" t="s">
        <v>2028</v>
      </c>
      <c r="D36" t="s">
        <v>100</v>
      </c>
      <c r="E36" t="s">
        <v>4</v>
      </c>
      <c r="F36">
        <f>185/9.6</f>
        <v>19.270833333333336</v>
      </c>
      <c r="G36" t="s">
        <v>15</v>
      </c>
    </row>
    <row r="38" spans="1:7" x14ac:dyDescent="0.35">
      <c r="A38" t="s">
        <v>2093</v>
      </c>
      <c r="B38" t="s">
        <v>2094</v>
      </c>
      <c r="C38" t="s">
        <v>2095</v>
      </c>
      <c r="D38" t="s">
        <v>59</v>
      </c>
      <c r="E38" t="s">
        <v>4</v>
      </c>
      <c r="F38">
        <f>238/13</f>
        <v>18.307692307692307</v>
      </c>
      <c r="G38" t="s">
        <v>5</v>
      </c>
    </row>
    <row r="40" spans="1:7" x14ac:dyDescent="0.35">
      <c r="A40" t="s">
        <v>2162</v>
      </c>
      <c r="B40" t="s">
        <v>29</v>
      </c>
      <c r="C40" t="s">
        <v>2163</v>
      </c>
      <c r="D40" t="s">
        <v>859</v>
      </c>
      <c r="E40" t="s">
        <v>4</v>
      </c>
      <c r="F40">
        <f>38/0.45</f>
        <v>84.444444444444443</v>
      </c>
      <c r="G40" t="s">
        <v>5</v>
      </c>
    </row>
    <row r="42" spans="1:7" x14ac:dyDescent="0.35">
      <c r="A42" t="s">
        <v>2286</v>
      </c>
      <c r="B42" t="s">
        <v>1227</v>
      </c>
      <c r="C42" t="s">
        <v>2287</v>
      </c>
      <c r="D42" t="s">
        <v>59</v>
      </c>
      <c r="E42" t="s">
        <v>4</v>
      </c>
      <c r="F42">
        <f>95/13</f>
        <v>7.3076923076923075</v>
      </c>
      <c r="G42" t="s">
        <v>10</v>
      </c>
    </row>
    <row r="44" spans="1:7" x14ac:dyDescent="0.35">
      <c r="A44" s="1" t="s">
        <v>2370</v>
      </c>
      <c r="B44" s="1" t="s">
        <v>2371</v>
      </c>
      <c r="C44" s="1" t="s">
        <v>2372</v>
      </c>
      <c r="D44" s="1" t="s">
        <v>265</v>
      </c>
      <c r="E44" s="1" t="s">
        <v>4</v>
      </c>
      <c r="F44" s="1">
        <f>559/45</f>
        <v>12.422222222222222</v>
      </c>
      <c r="G44" s="1" t="s">
        <v>10</v>
      </c>
    </row>
    <row r="46" spans="1:7" x14ac:dyDescent="0.35">
      <c r="A46" t="s">
        <v>2620</v>
      </c>
      <c r="B46" t="s">
        <v>2621</v>
      </c>
      <c r="C46" t="s">
        <v>2535</v>
      </c>
      <c r="D46" t="s">
        <v>2622</v>
      </c>
      <c r="E46" t="s">
        <v>4</v>
      </c>
      <c r="F46">
        <f>1150/92</f>
        <v>12.5</v>
      </c>
      <c r="G46" t="s">
        <v>10</v>
      </c>
    </row>
    <row r="48" spans="1:7" x14ac:dyDescent="0.35">
      <c r="A48" s="1" t="s">
        <v>2678</v>
      </c>
      <c r="B48" s="1" t="s">
        <v>2679</v>
      </c>
      <c r="C48" s="1" t="s">
        <v>2680</v>
      </c>
      <c r="D48" s="1" t="s">
        <v>287</v>
      </c>
      <c r="E48" s="1" t="s">
        <v>4</v>
      </c>
      <c r="F48" s="1">
        <f>121/12.5</f>
        <v>9.68</v>
      </c>
      <c r="G48" s="1" t="s">
        <v>10</v>
      </c>
    </row>
    <row r="50" spans="1:7" x14ac:dyDescent="0.35">
      <c r="A50" t="s">
        <v>2714</v>
      </c>
      <c r="B50" t="s">
        <v>2715</v>
      </c>
      <c r="C50" t="s">
        <v>2716</v>
      </c>
      <c r="D50" t="s">
        <v>294</v>
      </c>
      <c r="E50" t="s">
        <v>4</v>
      </c>
      <c r="F50">
        <f>400/42</f>
        <v>9.5238095238095237</v>
      </c>
      <c r="G50" t="s">
        <v>10</v>
      </c>
    </row>
    <row r="52" spans="1:7" x14ac:dyDescent="0.35">
      <c r="A52" s="1" t="s">
        <v>2721</v>
      </c>
      <c r="B52" s="1" t="s">
        <v>2722</v>
      </c>
      <c r="C52" s="1" t="s">
        <v>543</v>
      </c>
      <c r="D52" s="1" t="s">
        <v>819</v>
      </c>
      <c r="E52" s="1" t="s">
        <v>4</v>
      </c>
      <c r="F52" s="1">
        <f>179/29</f>
        <v>6.1724137931034484</v>
      </c>
      <c r="G52" s="1" t="s">
        <v>10</v>
      </c>
    </row>
    <row r="54" spans="1:7" x14ac:dyDescent="0.35">
      <c r="A54" t="s">
        <v>3037</v>
      </c>
      <c r="B54" t="s">
        <v>3038</v>
      </c>
      <c r="C54" t="s">
        <v>1404</v>
      </c>
      <c r="D54" t="s">
        <v>79</v>
      </c>
      <c r="E54" t="s">
        <v>4</v>
      </c>
      <c r="F54">
        <f>222/10</f>
        <v>22.2</v>
      </c>
      <c r="G54" t="s">
        <v>5</v>
      </c>
    </row>
    <row r="55" spans="1:7" x14ac:dyDescent="0.35">
      <c r="D55" t="s">
        <v>366</v>
      </c>
      <c r="F55">
        <f>222/14</f>
        <v>15.857142857142858</v>
      </c>
      <c r="G55" t="s">
        <v>10</v>
      </c>
    </row>
    <row r="57" spans="1:7" x14ac:dyDescent="0.35">
      <c r="A57" t="s">
        <v>3047</v>
      </c>
      <c r="B57" t="s">
        <v>3048</v>
      </c>
      <c r="C57" t="s">
        <v>3049</v>
      </c>
      <c r="D57" t="s">
        <v>1549</v>
      </c>
      <c r="E57" t="s">
        <v>4</v>
      </c>
      <c r="F57">
        <f>6292/78</f>
        <v>80.666666666666671</v>
      </c>
      <c r="G57" t="s">
        <v>5</v>
      </c>
    </row>
    <row r="59" spans="1:7" x14ac:dyDescent="0.35">
      <c r="A59" t="s">
        <v>3098</v>
      </c>
      <c r="B59" t="s">
        <v>1480</v>
      </c>
      <c r="C59" t="s">
        <v>3099</v>
      </c>
      <c r="D59" t="s">
        <v>3100</v>
      </c>
      <c r="E59" t="s">
        <v>4</v>
      </c>
      <c r="F59">
        <f>1166/75</f>
        <v>15.546666666666667</v>
      </c>
      <c r="G59" t="s">
        <v>10</v>
      </c>
    </row>
    <row r="61" spans="1:7" x14ac:dyDescent="0.35">
      <c r="A61" t="s">
        <v>3229</v>
      </c>
      <c r="B61" t="s">
        <v>3230</v>
      </c>
      <c r="C61" t="s">
        <v>3231</v>
      </c>
      <c r="D61" t="s">
        <v>2014</v>
      </c>
      <c r="E61" t="s">
        <v>4</v>
      </c>
      <c r="F61">
        <f>488/36</f>
        <v>13.555555555555555</v>
      </c>
      <c r="G61" t="s">
        <v>10</v>
      </c>
    </row>
    <row r="63" spans="1:7" x14ac:dyDescent="0.35">
      <c r="A63" t="s">
        <v>3376</v>
      </c>
      <c r="B63" t="s">
        <v>3377</v>
      </c>
      <c r="C63" t="s">
        <v>3378</v>
      </c>
      <c r="D63" t="s">
        <v>229</v>
      </c>
      <c r="E63" t="s">
        <v>4</v>
      </c>
      <c r="F63">
        <f>295/31</f>
        <v>9.5161290322580641</v>
      </c>
      <c r="G63" t="s">
        <v>10</v>
      </c>
    </row>
    <row r="65" spans="1:7" x14ac:dyDescent="0.35">
      <c r="A65" t="s">
        <v>3527</v>
      </c>
      <c r="B65" t="s">
        <v>3528</v>
      </c>
      <c r="C65" t="s">
        <v>3529</v>
      </c>
      <c r="D65" t="s">
        <v>494</v>
      </c>
      <c r="E65" t="s">
        <v>4</v>
      </c>
      <c r="F65">
        <f>1319/34</f>
        <v>38.794117647058826</v>
      </c>
      <c r="G65" t="s">
        <v>5</v>
      </c>
    </row>
    <row r="67" spans="1:7" x14ac:dyDescent="0.35">
      <c r="A67" t="s">
        <v>3781</v>
      </c>
      <c r="B67" t="s">
        <v>585</v>
      </c>
      <c r="C67" t="s">
        <v>3782</v>
      </c>
      <c r="D67" t="s">
        <v>59</v>
      </c>
      <c r="E67" t="s">
        <v>4</v>
      </c>
      <c r="F67">
        <f>181/13</f>
        <v>13.923076923076923</v>
      </c>
      <c r="G67" t="s">
        <v>10</v>
      </c>
    </row>
    <row r="69" spans="1:7" x14ac:dyDescent="0.35">
      <c r="A69" t="s">
        <v>3807</v>
      </c>
      <c r="B69" t="s">
        <v>2679</v>
      </c>
      <c r="C69" t="s">
        <v>1223</v>
      </c>
      <c r="D69" t="s">
        <v>192</v>
      </c>
      <c r="E69" t="s">
        <v>4</v>
      </c>
      <c r="F69">
        <f>124/11</f>
        <v>11.272727272727273</v>
      </c>
      <c r="G69" t="s">
        <v>10</v>
      </c>
    </row>
    <row r="71" spans="1:7" x14ac:dyDescent="0.35">
      <c r="A71" t="s">
        <v>3808</v>
      </c>
      <c r="B71" t="s">
        <v>3809</v>
      </c>
      <c r="C71" t="s">
        <v>973</v>
      </c>
      <c r="D71" t="s">
        <v>772</v>
      </c>
      <c r="E71" t="s">
        <v>4</v>
      </c>
      <c r="F71">
        <f>400/44</f>
        <v>9.0909090909090917</v>
      </c>
      <c r="G71" t="s">
        <v>10</v>
      </c>
    </row>
    <row r="73" spans="1:7" x14ac:dyDescent="0.35">
      <c r="A73" t="s">
        <v>3816</v>
      </c>
      <c r="B73" t="s">
        <v>3004</v>
      </c>
      <c r="C73" t="s">
        <v>638</v>
      </c>
      <c r="D73" t="s">
        <v>134</v>
      </c>
      <c r="E73" t="s">
        <v>4</v>
      </c>
      <c r="F73">
        <f>170/12</f>
        <v>14.166666666666666</v>
      </c>
      <c r="G73" t="s">
        <v>10</v>
      </c>
    </row>
    <row r="75" spans="1:7" x14ac:dyDescent="0.35">
      <c r="A75" t="s">
        <v>3864</v>
      </c>
      <c r="B75" t="s">
        <v>829</v>
      </c>
      <c r="C75" t="s">
        <v>26</v>
      </c>
      <c r="D75" t="s">
        <v>3865</v>
      </c>
      <c r="E75" t="s">
        <v>4</v>
      </c>
      <c r="F75">
        <f>276/32.5</f>
        <v>8.4923076923076923</v>
      </c>
      <c r="G75" t="s">
        <v>10</v>
      </c>
    </row>
    <row r="77" spans="1:7" x14ac:dyDescent="0.35">
      <c r="A77" t="s">
        <v>3942</v>
      </c>
      <c r="B77" t="s">
        <v>3943</v>
      </c>
      <c r="C77" t="s">
        <v>1446</v>
      </c>
      <c r="D77" t="s">
        <v>258</v>
      </c>
      <c r="E77" t="s">
        <v>4</v>
      </c>
      <c r="F77">
        <f>35/5</f>
        <v>7</v>
      </c>
      <c r="G77" t="s">
        <v>10</v>
      </c>
    </row>
    <row r="79" spans="1:7" x14ac:dyDescent="0.35">
      <c r="A79" t="s">
        <v>3977</v>
      </c>
      <c r="B79" t="s">
        <v>3978</v>
      </c>
      <c r="C79" t="s">
        <v>3549</v>
      </c>
      <c r="D79" t="s">
        <v>3979</v>
      </c>
      <c r="E79" t="s">
        <v>4</v>
      </c>
      <c r="F79">
        <f>32/2.62</f>
        <v>12.213740458015266</v>
      </c>
      <c r="G79" t="s">
        <v>10</v>
      </c>
    </row>
    <row r="81" spans="1:7" x14ac:dyDescent="0.35">
      <c r="A81" t="s">
        <v>3996</v>
      </c>
      <c r="B81" t="s">
        <v>1650</v>
      </c>
      <c r="C81" t="s">
        <v>3997</v>
      </c>
      <c r="D81" t="s">
        <v>1249</v>
      </c>
      <c r="E81" t="s">
        <v>4</v>
      </c>
      <c r="F81">
        <f>600/28</f>
        <v>21.428571428571427</v>
      </c>
      <c r="G81" t="s">
        <v>5</v>
      </c>
    </row>
    <row r="83" spans="1:7" x14ac:dyDescent="0.35">
      <c r="A83" t="s">
        <v>4046</v>
      </c>
      <c r="B83" t="s">
        <v>231</v>
      </c>
      <c r="C83" t="s">
        <v>2147</v>
      </c>
      <c r="D83" t="s">
        <v>593</v>
      </c>
      <c r="E83" t="s">
        <v>4</v>
      </c>
      <c r="F83">
        <f>520/27</f>
        <v>19.25925925925926</v>
      </c>
      <c r="G83" t="s">
        <v>5</v>
      </c>
    </row>
    <row r="85" spans="1:7" x14ac:dyDescent="0.35">
      <c r="A85" t="s">
        <v>4064</v>
      </c>
      <c r="B85" t="s">
        <v>3978</v>
      </c>
      <c r="C85" t="s">
        <v>4065</v>
      </c>
      <c r="D85" t="s">
        <v>498</v>
      </c>
      <c r="E85" t="s">
        <v>4</v>
      </c>
      <c r="F85">
        <f>133/8</f>
        <v>16.625</v>
      </c>
      <c r="G85" t="s">
        <v>5</v>
      </c>
    </row>
    <row r="87" spans="1:7" x14ac:dyDescent="0.35">
      <c r="A87" t="s">
        <v>4123</v>
      </c>
      <c r="B87" t="s">
        <v>254</v>
      </c>
      <c r="C87" t="s">
        <v>4124</v>
      </c>
      <c r="D87" t="s">
        <v>134</v>
      </c>
      <c r="E87" t="s">
        <v>4</v>
      </c>
      <c r="F87">
        <f>164/12</f>
        <v>13.666666666666666</v>
      </c>
      <c r="G87" t="s">
        <v>10</v>
      </c>
    </row>
    <row r="89" spans="1:7" x14ac:dyDescent="0.35">
      <c r="A89" t="s">
        <v>4168</v>
      </c>
      <c r="B89" t="s">
        <v>1613</v>
      </c>
      <c r="C89" t="s">
        <v>4169</v>
      </c>
      <c r="D89" t="s">
        <v>164</v>
      </c>
      <c r="E89" t="s">
        <v>4</v>
      </c>
      <c r="F89">
        <f>369/25</f>
        <v>14.76</v>
      </c>
      <c r="G89" t="s">
        <v>10</v>
      </c>
    </row>
    <row r="91" spans="1:7" x14ac:dyDescent="0.35">
      <c r="A91" t="s">
        <v>4256</v>
      </c>
      <c r="B91" t="s">
        <v>368</v>
      </c>
      <c r="C91" t="s">
        <v>4257</v>
      </c>
      <c r="D91" t="s">
        <v>4102</v>
      </c>
      <c r="E91" t="s">
        <v>4</v>
      </c>
      <c r="F91">
        <f>23/1.9</f>
        <v>12.105263157894738</v>
      </c>
      <c r="G91" t="s">
        <v>10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896C8-0059-4D58-98F7-10E5CF6F75DF}">
  <dimension ref="A1:G45"/>
  <sheetViews>
    <sheetView topLeftCell="A18" workbookViewId="0">
      <selection activeCell="A47" sqref="A47"/>
    </sheetView>
  </sheetViews>
  <sheetFormatPr defaultRowHeight="14.5" x14ac:dyDescent="0.35"/>
  <sheetData>
    <row r="1" spans="1:7" x14ac:dyDescent="0.35">
      <c r="A1" s="1" t="s">
        <v>948</v>
      </c>
      <c r="B1" s="1" t="s">
        <v>949</v>
      </c>
      <c r="C1" s="1" t="s">
        <v>950</v>
      </c>
      <c r="D1" s="1" t="s">
        <v>872</v>
      </c>
      <c r="E1" s="1" t="s">
        <v>4</v>
      </c>
      <c r="F1" s="1">
        <f>179/18.5</f>
        <v>9.6756756756756754</v>
      </c>
      <c r="G1" s="1" t="s">
        <v>10</v>
      </c>
    </row>
    <row r="3" spans="1:7" x14ac:dyDescent="0.35">
      <c r="A3" t="s">
        <v>1282</v>
      </c>
      <c r="B3" t="s">
        <v>734</v>
      </c>
      <c r="C3" t="s">
        <v>1283</v>
      </c>
      <c r="D3" t="s">
        <v>536</v>
      </c>
      <c r="E3" t="s">
        <v>4</v>
      </c>
      <c r="F3">
        <f>650/50</f>
        <v>13</v>
      </c>
      <c r="G3" t="s">
        <v>10</v>
      </c>
    </row>
    <row r="5" spans="1:7" x14ac:dyDescent="0.35">
      <c r="A5" t="s">
        <v>1776</v>
      </c>
      <c r="B5" t="s">
        <v>1777</v>
      </c>
      <c r="C5" t="s">
        <v>1778</v>
      </c>
      <c r="D5" t="s">
        <v>1779</v>
      </c>
      <c r="E5" t="s">
        <v>4</v>
      </c>
      <c r="F5">
        <f>3013/132</f>
        <v>22.825757575757574</v>
      </c>
      <c r="G5" t="s">
        <v>10</v>
      </c>
    </row>
    <row r="7" spans="1:7" x14ac:dyDescent="0.35">
      <c r="A7" t="s">
        <v>1879</v>
      </c>
      <c r="B7" t="s">
        <v>1653</v>
      </c>
      <c r="C7" t="s">
        <v>1041</v>
      </c>
      <c r="D7" t="s">
        <v>1880</v>
      </c>
      <c r="E7" t="s">
        <v>4</v>
      </c>
      <c r="F7">
        <f>56/3</f>
        <v>18.666666666666668</v>
      </c>
      <c r="G7" t="s">
        <v>5</v>
      </c>
    </row>
    <row r="9" spans="1:7" x14ac:dyDescent="0.35">
      <c r="A9" t="s">
        <v>2192</v>
      </c>
      <c r="B9" t="s">
        <v>29</v>
      </c>
      <c r="C9" t="s">
        <v>1223</v>
      </c>
      <c r="D9" t="s">
        <v>366</v>
      </c>
      <c r="E9" t="s">
        <v>4</v>
      </c>
      <c r="F9">
        <f>642/14</f>
        <v>45.857142857142854</v>
      </c>
      <c r="G9" t="s">
        <v>5</v>
      </c>
    </row>
    <row r="11" spans="1:7" x14ac:dyDescent="0.35">
      <c r="A11" t="s">
        <v>2595</v>
      </c>
      <c r="B11" t="s">
        <v>2596</v>
      </c>
      <c r="C11" t="s">
        <v>2597</v>
      </c>
      <c r="D11" t="s">
        <v>89</v>
      </c>
      <c r="E11" t="s">
        <v>4</v>
      </c>
      <c r="F11">
        <f>110/4</f>
        <v>27.5</v>
      </c>
      <c r="G11" t="s">
        <v>5</v>
      </c>
    </row>
    <row r="13" spans="1:7" x14ac:dyDescent="0.35">
      <c r="A13" s="1" t="s">
        <v>2636</v>
      </c>
      <c r="B13" s="1" t="s">
        <v>2637</v>
      </c>
      <c r="C13" s="1" t="s">
        <v>2638</v>
      </c>
      <c r="D13" s="1" t="s">
        <v>815</v>
      </c>
      <c r="E13" s="1" t="s">
        <v>4</v>
      </c>
      <c r="F13" s="1">
        <f>245/32</f>
        <v>7.65625</v>
      </c>
      <c r="G13" s="1" t="s">
        <v>10</v>
      </c>
    </row>
    <row r="15" spans="1:7" x14ac:dyDescent="0.35">
      <c r="A15" t="s">
        <v>2958</v>
      </c>
      <c r="B15" t="s">
        <v>29</v>
      </c>
      <c r="C15" t="s">
        <v>2959</v>
      </c>
      <c r="D15" t="s">
        <v>280</v>
      </c>
      <c r="E15" t="s">
        <v>4</v>
      </c>
      <c r="F15">
        <f>1448/20</f>
        <v>72.400000000000006</v>
      </c>
      <c r="G15" t="s">
        <v>5</v>
      </c>
    </row>
    <row r="17" spans="1:7" x14ac:dyDescent="0.35">
      <c r="A17" t="s">
        <v>3001</v>
      </c>
      <c r="B17" t="s">
        <v>483</v>
      </c>
      <c r="C17" t="s">
        <v>3002</v>
      </c>
      <c r="D17" t="s">
        <v>280</v>
      </c>
      <c r="E17" t="s">
        <v>4</v>
      </c>
      <c r="F17">
        <f>550/20</f>
        <v>27.5</v>
      </c>
      <c r="G17" t="s">
        <v>5</v>
      </c>
    </row>
    <row r="19" spans="1:7" x14ac:dyDescent="0.35">
      <c r="A19" t="s">
        <v>3061</v>
      </c>
      <c r="B19" t="s">
        <v>3062</v>
      </c>
      <c r="C19" t="s">
        <v>3063</v>
      </c>
      <c r="D19" t="s">
        <v>236</v>
      </c>
      <c r="E19" t="s">
        <v>4</v>
      </c>
      <c r="F19">
        <f>2622/120</f>
        <v>21.85</v>
      </c>
      <c r="G19" t="s">
        <v>10</v>
      </c>
    </row>
    <row r="21" spans="1:7" x14ac:dyDescent="0.35">
      <c r="A21" t="s">
        <v>3262</v>
      </c>
      <c r="B21" t="s">
        <v>3263</v>
      </c>
      <c r="C21" t="s">
        <v>2355</v>
      </c>
      <c r="D21" t="s">
        <v>153</v>
      </c>
      <c r="E21" t="s">
        <v>4</v>
      </c>
      <c r="F21">
        <f>168/26</f>
        <v>6.4615384615384617</v>
      </c>
      <c r="G21" t="s">
        <v>10</v>
      </c>
    </row>
    <row r="23" spans="1:7" x14ac:dyDescent="0.35">
      <c r="A23" t="s">
        <v>3354</v>
      </c>
      <c r="B23" t="s">
        <v>29</v>
      </c>
      <c r="C23" t="s">
        <v>3355</v>
      </c>
      <c r="D23" t="s">
        <v>93</v>
      </c>
      <c r="E23" t="s">
        <v>4</v>
      </c>
      <c r="F23">
        <f>161/4.5</f>
        <v>35.777777777777779</v>
      </c>
      <c r="G23" t="s">
        <v>5</v>
      </c>
    </row>
    <row r="25" spans="1:7" x14ac:dyDescent="0.35">
      <c r="A25" t="s">
        <v>3503</v>
      </c>
      <c r="B25" t="s">
        <v>2679</v>
      </c>
      <c r="C25" t="s">
        <v>3504</v>
      </c>
      <c r="D25" t="s">
        <v>309</v>
      </c>
      <c r="E25" t="s">
        <v>4</v>
      </c>
      <c r="F25">
        <f>240/17</f>
        <v>14.117647058823529</v>
      </c>
      <c r="G25" t="s">
        <v>10</v>
      </c>
    </row>
    <row r="27" spans="1:7" x14ac:dyDescent="0.35">
      <c r="A27" t="s">
        <v>3515</v>
      </c>
      <c r="B27" t="s">
        <v>3516</v>
      </c>
      <c r="C27" t="s">
        <v>894</v>
      </c>
      <c r="D27" t="s">
        <v>19</v>
      </c>
      <c r="E27" t="s">
        <v>4</v>
      </c>
      <c r="F27">
        <f>131/9</f>
        <v>14.555555555555555</v>
      </c>
      <c r="G27" t="s">
        <v>10</v>
      </c>
    </row>
    <row r="29" spans="1:7" x14ac:dyDescent="0.35">
      <c r="A29" t="s">
        <v>3534</v>
      </c>
      <c r="B29" t="s">
        <v>2512</v>
      </c>
      <c r="C29" t="s">
        <v>3535</v>
      </c>
      <c r="D29" t="s">
        <v>119</v>
      </c>
      <c r="E29" t="s">
        <v>4</v>
      </c>
      <c r="F29">
        <f>672/59</f>
        <v>11.389830508474576</v>
      </c>
      <c r="G29" t="s">
        <v>10</v>
      </c>
    </row>
    <row r="31" spans="1:7" x14ac:dyDescent="0.35">
      <c r="A31" t="s">
        <v>3601</v>
      </c>
      <c r="B31" t="s">
        <v>2394</v>
      </c>
      <c r="C31" t="s">
        <v>3602</v>
      </c>
      <c r="D31" t="s">
        <v>67</v>
      </c>
      <c r="E31" t="s">
        <v>4</v>
      </c>
      <c r="F31">
        <f>64/3.8</f>
        <v>16.842105263157894</v>
      </c>
      <c r="G31" t="s">
        <v>10</v>
      </c>
    </row>
    <row r="33" spans="1:7" x14ac:dyDescent="0.35">
      <c r="A33" t="s">
        <v>3646</v>
      </c>
      <c r="B33" t="s">
        <v>3647</v>
      </c>
      <c r="C33" t="s">
        <v>2980</v>
      </c>
      <c r="D33" t="s">
        <v>89</v>
      </c>
      <c r="E33" t="s">
        <v>4</v>
      </c>
    </row>
    <row r="35" spans="1:7" x14ac:dyDescent="0.35">
      <c r="A35" t="s">
        <v>3819</v>
      </c>
      <c r="B35" t="s">
        <v>703</v>
      </c>
      <c r="C35" t="s">
        <v>580</v>
      </c>
      <c r="D35" t="s">
        <v>86</v>
      </c>
      <c r="E35" t="s">
        <v>4</v>
      </c>
      <c r="F35">
        <f>512/22</f>
        <v>23.272727272727273</v>
      </c>
      <c r="G35" t="s">
        <v>10</v>
      </c>
    </row>
    <row r="37" spans="1:7" x14ac:dyDescent="0.35">
      <c r="A37" t="s">
        <v>3912</v>
      </c>
      <c r="B37" t="s">
        <v>3913</v>
      </c>
      <c r="C37" t="s">
        <v>3914</v>
      </c>
      <c r="D37" t="s">
        <v>1588</v>
      </c>
      <c r="E37" t="s">
        <v>4</v>
      </c>
      <c r="F37">
        <f>1079/125</f>
        <v>8.6319999999999997</v>
      </c>
      <c r="G37" t="s">
        <v>10</v>
      </c>
    </row>
    <row r="39" spans="1:7" x14ac:dyDescent="0.35">
      <c r="A39" t="s">
        <v>3922</v>
      </c>
      <c r="B39" t="s">
        <v>3923</v>
      </c>
      <c r="C39" t="s">
        <v>30</v>
      </c>
    </row>
    <row r="41" spans="1:7" x14ac:dyDescent="0.35">
      <c r="A41" t="s">
        <v>3988</v>
      </c>
      <c r="B41" t="s">
        <v>3989</v>
      </c>
      <c r="C41" t="s">
        <v>3597</v>
      </c>
      <c r="D41" t="s">
        <v>79</v>
      </c>
      <c r="E41" t="s">
        <v>4</v>
      </c>
      <c r="F41">
        <f>190/10</f>
        <v>19</v>
      </c>
      <c r="G41" t="s">
        <v>5</v>
      </c>
    </row>
    <row r="43" spans="1:7" x14ac:dyDescent="0.35">
      <c r="A43" t="s">
        <v>4103</v>
      </c>
      <c r="B43" t="s">
        <v>4104</v>
      </c>
      <c r="C43" t="s">
        <v>4105</v>
      </c>
      <c r="D43" t="s">
        <v>1454</v>
      </c>
      <c r="E43" t="s">
        <v>4</v>
      </c>
      <c r="F43">
        <f>221/11.5</f>
        <v>19.217391304347824</v>
      </c>
      <c r="G43" t="s">
        <v>10</v>
      </c>
    </row>
    <row r="45" spans="1:7" x14ac:dyDescent="0.35">
      <c r="A45" t="s">
        <v>4241</v>
      </c>
      <c r="B45" t="s">
        <v>4242</v>
      </c>
      <c r="C45" t="s">
        <v>4243</v>
      </c>
      <c r="D45" t="s">
        <v>134</v>
      </c>
      <c r="E45" t="s">
        <v>4</v>
      </c>
      <c r="F45">
        <f>835/12</f>
        <v>69.583333333333329</v>
      </c>
      <c r="G45" t="s">
        <v>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D588-82A2-49C7-AC51-45D0AEA4A4B6}">
  <dimension ref="A1:G23"/>
  <sheetViews>
    <sheetView workbookViewId="0">
      <selection activeCell="A25" sqref="A25"/>
    </sheetView>
  </sheetViews>
  <sheetFormatPr defaultRowHeight="14.5" x14ac:dyDescent="0.35"/>
  <sheetData>
    <row r="1" spans="1:7" x14ac:dyDescent="0.35">
      <c r="A1" t="s">
        <v>537</v>
      </c>
      <c r="B1" t="s">
        <v>538</v>
      </c>
      <c r="C1" t="s">
        <v>104</v>
      </c>
      <c r="D1" t="s">
        <v>19</v>
      </c>
      <c r="E1" t="s">
        <v>4</v>
      </c>
      <c r="F1">
        <f>212/9</f>
        <v>23.555555555555557</v>
      </c>
      <c r="G1" t="s">
        <v>5</v>
      </c>
    </row>
    <row r="3" spans="1:7" x14ac:dyDescent="0.35">
      <c r="A3" t="s">
        <v>972</v>
      </c>
      <c r="B3" t="s">
        <v>734</v>
      </c>
      <c r="C3" t="s">
        <v>973</v>
      </c>
      <c r="D3" t="s">
        <v>974</v>
      </c>
      <c r="E3" t="s">
        <v>4</v>
      </c>
      <c r="F3">
        <f>2600/41</f>
        <v>63.414634146341463</v>
      </c>
      <c r="G3" t="s">
        <v>5</v>
      </c>
    </row>
    <row r="5" spans="1:7" x14ac:dyDescent="0.35">
      <c r="A5" t="s">
        <v>1844</v>
      </c>
      <c r="B5" t="s">
        <v>1845</v>
      </c>
      <c r="C5" t="s">
        <v>1846</v>
      </c>
      <c r="D5" t="s">
        <v>192</v>
      </c>
      <c r="E5" t="s">
        <v>4</v>
      </c>
      <c r="F5">
        <f>465/11</f>
        <v>42.272727272727273</v>
      </c>
      <c r="G5" t="s">
        <v>5</v>
      </c>
    </row>
    <row r="7" spans="1:7" x14ac:dyDescent="0.35">
      <c r="A7" t="s">
        <v>1984</v>
      </c>
      <c r="B7" t="s">
        <v>1985</v>
      </c>
      <c r="C7" t="s">
        <v>1986</v>
      </c>
      <c r="D7" t="s">
        <v>1987</v>
      </c>
      <c r="E7" t="s">
        <v>4</v>
      </c>
      <c r="F7">
        <f>2800/415</f>
        <v>6.7469879518072293</v>
      </c>
      <c r="G7" t="s">
        <v>5</v>
      </c>
    </row>
    <row r="9" spans="1:7" x14ac:dyDescent="0.35">
      <c r="A9" t="s">
        <v>2114</v>
      </c>
      <c r="B9" t="s">
        <v>2115</v>
      </c>
      <c r="C9" t="s">
        <v>2116</v>
      </c>
      <c r="D9" t="s">
        <v>1002</v>
      </c>
      <c r="E9" t="s">
        <v>4</v>
      </c>
      <c r="F9">
        <f>228/7.5</f>
        <v>30.4</v>
      </c>
      <c r="G9" t="s">
        <v>10</v>
      </c>
    </row>
    <row r="11" spans="1:7" x14ac:dyDescent="0.35">
      <c r="A11" t="s">
        <v>2154</v>
      </c>
      <c r="B11" t="s">
        <v>2155</v>
      </c>
      <c r="C11" t="s">
        <v>2156</v>
      </c>
      <c r="D11" t="s">
        <v>463</v>
      </c>
      <c r="E11" t="s">
        <v>4</v>
      </c>
      <c r="F11">
        <f>1428/24</f>
        <v>59.5</v>
      </c>
      <c r="G11" t="s">
        <v>5</v>
      </c>
    </row>
    <row r="13" spans="1:7" x14ac:dyDescent="0.35">
      <c r="A13" t="s">
        <v>2765</v>
      </c>
      <c r="B13" t="s">
        <v>2498</v>
      </c>
      <c r="C13" t="s">
        <v>2766</v>
      </c>
      <c r="D13" t="s">
        <v>19</v>
      </c>
      <c r="E13" t="s">
        <v>4</v>
      </c>
      <c r="F13">
        <f>465/9</f>
        <v>51.666666666666664</v>
      </c>
      <c r="G13" t="s">
        <v>5</v>
      </c>
    </row>
    <row r="15" spans="1:7" x14ac:dyDescent="0.35">
      <c r="A15" t="s">
        <v>3007</v>
      </c>
      <c r="B15" t="s">
        <v>3008</v>
      </c>
      <c r="C15" t="s">
        <v>1982</v>
      </c>
      <c r="D15" t="s">
        <v>1346</v>
      </c>
      <c r="E15" t="s">
        <v>4</v>
      </c>
      <c r="F15">
        <f>1050/62</f>
        <v>16.93548387096774</v>
      </c>
      <c r="G15" t="s">
        <v>10</v>
      </c>
    </row>
    <row r="17" spans="1:7" x14ac:dyDescent="0.35">
      <c r="A17" t="s">
        <v>3727</v>
      </c>
      <c r="B17" t="s">
        <v>3647</v>
      </c>
      <c r="C17" t="s">
        <v>3728</v>
      </c>
      <c r="D17" t="s">
        <v>3729</v>
      </c>
      <c r="E17" t="s">
        <v>4</v>
      </c>
      <c r="F17">
        <f>5/0.12</f>
        <v>41.666666666666671</v>
      </c>
      <c r="G17" t="s">
        <v>5</v>
      </c>
    </row>
    <row r="19" spans="1:7" x14ac:dyDescent="0.35">
      <c r="A19" t="s">
        <v>3958</v>
      </c>
      <c r="B19" t="s">
        <v>3959</v>
      </c>
      <c r="C19" t="s">
        <v>199</v>
      </c>
      <c r="D19" t="s">
        <v>200</v>
      </c>
      <c r="E19" t="s">
        <v>4</v>
      </c>
      <c r="F19">
        <f>308/43</f>
        <v>7.1627906976744189</v>
      </c>
      <c r="G19" t="s">
        <v>10</v>
      </c>
    </row>
    <row r="21" spans="1:7" x14ac:dyDescent="0.35">
      <c r="A21" t="s">
        <v>4197</v>
      </c>
      <c r="B21" t="s">
        <v>4198</v>
      </c>
      <c r="C21" t="s">
        <v>4199</v>
      </c>
      <c r="D21" t="s">
        <v>144</v>
      </c>
      <c r="E21" t="s">
        <v>4</v>
      </c>
      <c r="F21">
        <f>978/30</f>
        <v>32.6</v>
      </c>
      <c r="G21" t="s">
        <v>5</v>
      </c>
    </row>
    <row r="23" spans="1:7" x14ac:dyDescent="0.35">
      <c r="A23" t="s">
        <v>4287</v>
      </c>
      <c r="B23" t="s">
        <v>382</v>
      </c>
      <c r="C23" t="s">
        <v>515</v>
      </c>
      <c r="D23" t="s">
        <v>188</v>
      </c>
      <c r="E23" t="s">
        <v>4</v>
      </c>
      <c r="F23">
        <f>65/3.5</f>
        <v>18.571428571428573</v>
      </c>
      <c r="G23" t="s">
        <v>10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8545D-5C92-4761-8A5A-7BCB9651C50A}">
  <dimension ref="A1:G21"/>
  <sheetViews>
    <sheetView workbookViewId="0">
      <selection activeCell="A23" sqref="A23"/>
    </sheetView>
  </sheetViews>
  <sheetFormatPr defaultRowHeight="14.5" x14ac:dyDescent="0.35"/>
  <sheetData>
    <row r="1" spans="1:7" x14ac:dyDescent="0.35">
      <c r="A1" t="s">
        <v>1362</v>
      </c>
      <c r="B1" t="s">
        <v>1363</v>
      </c>
      <c r="C1" t="s">
        <v>1364</v>
      </c>
      <c r="D1" t="s">
        <v>971</v>
      </c>
      <c r="E1" t="s">
        <v>4</v>
      </c>
      <c r="F1">
        <f>135/10.5</f>
        <v>12.857142857142858</v>
      </c>
      <c r="G1" t="s">
        <v>10</v>
      </c>
    </row>
    <row r="3" spans="1:7" x14ac:dyDescent="0.35">
      <c r="A3" t="s">
        <v>1511</v>
      </c>
      <c r="B3" t="s">
        <v>1512</v>
      </c>
      <c r="C3" t="s">
        <v>1513</v>
      </c>
      <c r="D3" t="s">
        <v>695</v>
      </c>
      <c r="E3" t="s">
        <v>4</v>
      </c>
      <c r="F3">
        <f>135/2</f>
        <v>67.5</v>
      </c>
      <c r="G3" t="s">
        <v>1514</v>
      </c>
    </row>
    <row r="5" spans="1:7" x14ac:dyDescent="0.35">
      <c r="A5" t="s">
        <v>1743</v>
      </c>
      <c r="B5" t="s">
        <v>1744</v>
      </c>
      <c r="C5" t="s">
        <v>369</v>
      </c>
      <c r="D5" t="s">
        <v>157</v>
      </c>
      <c r="E5" t="s">
        <v>4</v>
      </c>
      <c r="F5">
        <f>93/2.7</f>
        <v>34.444444444444443</v>
      </c>
      <c r="G5" t="s">
        <v>5</v>
      </c>
    </row>
    <row r="7" spans="1:7" x14ac:dyDescent="0.35">
      <c r="A7" s="1" t="s">
        <v>1762</v>
      </c>
      <c r="B7" s="1" t="s">
        <v>1763</v>
      </c>
      <c r="C7" s="1" t="s">
        <v>1764</v>
      </c>
      <c r="D7" s="1" t="s">
        <v>1765</v>
      </c>
      <c r="E7" s="1" t="s">
        <v>4</v>
      </c>
      <c r="F7" s="1">
        <f>84/10</f>
        <v>8.4</v>
      </c>
      <c r="G7" s="1" t="s">
        <v>10</v>
      </c>
    </row>
    <row r="9" spans="1:7" x14ac:dyDescent="0.35">
      <c r="A9" t="s">
        <v>1853</v>
      </c>
      <c r="B9" t="s">
        <v>1402</v>
      </c>
      <c r="C9" t="s">
        <v>1854</v>
      </c>
      <c r="D9" t="s">
        <v>287</v>
      </c>
      <c r="E9" t="s">
        <v>4</v>
      </c>
      <c r="F9">
        <f>226/12.5</f>
        <v>18.079999999999998</v>
      </c>
      <c r="G9" t="s">
        <v>5</v>
      </c>
    </row>
    <row r="11" spans="1:7" x14ac:dyDescent="0.35">
      <c r="A11" t="s">
        <v>2839</v>
      </c>
      <c r="B11" t="s">
        <v>2348</v>
      </c>
      <c r="C11" t="s">
        <v>1036</v>
      </c>
      <c r="D11" t="s">
        <v>178</v>
      </c>
      <c r="E11" t="s">
        <v>4</v>
      </c>
      <c r="F11">
        <f>327/15</f>
        <v>21.8</v>
      </c>
      <c r="G11" t="s">
        <v>5</v>
      </c>
    </row>
    <row r="13" spans="1:7" x14ac:dyDescent="0.35">
      <c r="A13" t="s">
        <v>2969</v>
      </c>
      <c r="B13" t="s">
        <v>2970</v>
      </c>
      <c r="C13" t="s">
        <v>228</v>
      </c>
      <c r="D13" t="s">
        <v>144</v>
      </c>
      <c r="E13" t="s">
        <v>4</v>
      </c>
      <c r="F13">
        <f>245/30</f>
        <v>8.1666666666666661</v>
      </c>
      <c r="G13" t="s">
        <v>10</v>
      </c>
    </row>
    <row r="15" spans="1:7" x14ac:dyDescent="0.35">
      <c r="A15" t="s">
        <v>3158</v>
      </c>
      <c r="B15" t="s">
        <v>29</v>
      </c>
      <c r="C15" t="s">
        <v>1162</v>
      </c>
      <c r="D15" t="s">
        <v>178</v>
      </c>
      <c r="E15" t="s">
        <v>4</v>
      </c>
      <c r="F15">
        <f>160/15</f>
        <v>10.666666666666666</v>
      </c>
      <c r="G15" t="s">
        <v>10</v>
      </c>
    </row>
    <row r="17" spans="1:7" x14ac:dyDescent="0.35">
      <c r="A17" t="s">
        <v>3368</v>
      </c>
      <c r="B17" t="s">
        <v>296</v>
      </c>
      <c r="C17" t="s">
        <v>1886</v>
      </c>
      <c r="D17" t="s">
        <v>3369</v>
      </c>
      <c r="E17" t="s">
        <v>4</v>
      </c>
      <c r="F17">
        <f>191/15.65</f>
        <v>12.204472843450478</v>
      </c>
      <c r="G17" t="s">
        <v>10</v>
      </c>
    </row>
    <row r="19" spans="1:7" x14ac:dyDescent="0.35">
      <c r="A19" t="s">
        <v>3506</v>
      </c>
      <c r="B19" t="s">
        <v>3507</v>
      </c>
      <c r="C19" t="s">
        <v>3508</v>
      </c>
      <c r="D19" t="s">
        <v>178</v>
      </c>
      <c r="E19" t="s">
        <v>4</v>
      </c>
      <c r="F19">
        <f>474/15</f>
        <v>31.6</v>
      </c>
      <c r="G19" t="s">
        <v>10</v>
      </c>
    </row>
    <row r="21" spans="1:7" x14ac:dyDescent="0.35">
      <c r="A21" t="s">
        <v>3694</v>
      </c>
      <c r="B21" t="s">
        <v>296</v>
      </c>
      <c r="C21" t="s">
        <v>22</v>
      </c>
      <c r="D21" t="s">
        <v>280</v>
      </c>
      <c r="E21" t="s">
        <v>4</v>
      </c>
      <c r="F21">
        <f>435/20</f>
        <v>21.75</v>
      </c>
      <c r="G21" t="s">
        <v>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DB8D-180F-4F30-A13B-5818E81CF409}">
  <dimension ref="A1:H237"/>
  <sheetViews>
    <sheetView topLeftCell="A210" workbookViewId="0">
      <selection activeCell="A239" sqref="A239"/>
    </sheetView>
  </sheetViews>
  <sheetFormatPr defaultRowHeight="14.5" x14ac:dyDescent="0.35"/>
  <sheetData>
    <row r="1" spans="1:8" x14ac:dyDescent="0.35">
      <c r="A1" t="s">
        <v>349</v>
      </c>
      <c r="B1" t="s">
        <v>350</v>
      </c>
      <c r="C1" t="s">
        <v>351</v>
      </c>
      <c r="D1" t="s">
        <v>352</v>
      </c>
      <c r="E1" t="s">
        <v>4</v>
      </c>
      <c r="F1">
        <f>391/18</f>
        <v>21.722222222222221</v>
      </c>
      <c r="G1" t="s">
        <v>10</v>
      </c>
    </row>
    <row r="3" spans="1:8" x14ac:dyDescent="0.35">
      <c r="A3" t="s">
        <v>409</v>
      </c>
      <c r="B3" t="s">
        <v>396</v>
      </c>
      <c r="C3" t="s">
        <v>397</v>
      </c>
      <c r="D3" t="s">
        <v>164</v>
      </c>
      <c r="E3" t="s">
        <v>4</v>
      </c>
      <c r="F3">
        <f>535/25</f>
        <v>21.4</v>
      </c>
      <c r="G3" t="s">
        <v>10</v>
      </c>
    </row>
    <row r="5" spans="1:8" x14ac:dyDescent="0.35">
      <c r="A5" s="2" t="s">
        <v>401</v>
      </c>
      <c r="B5" s="2" t="s">
        <v>402</v>
      </c>
      <c r="C5" s="2" t="s">
        <v>403</v>
      </c>
      <c r="D5" s="2" t="s">
        <v>178</v>
      </c>
      <c r="E5" s="2" t="s">
        <v>4</v>
      </c>
      <c r="F5" s="2">
        <f>307/15</f>
        <v>20.466666666666665</v>
      </c>
      <c r="G5" s="2" t="s">
        <v>5</v>
      </c>
    </row>
    <row r="6" spans="1:8" x14ac:dyDescent="0.35">
      <c r="A6" s="2"/>
      <c r="B6" s="2"/>
      <c r="C6" s="2"/>
      <c r="D6" s="2"/>
      <c r="E6" s="2"/>
      <c r="F6" s="2"/>
      <c r="G6" s="2"/>
    </row>
    <row r="7" spans="1:8" x14ac:dyDescent="0.35">
      <c r="A7" s="2" t="s">
        <v>407</v>
      </c>
      <c r="B7" s="2" t="s">
        <v>408</v>
      </c>
      <c r="C7" s="2" t="s">
        <v>320</v>
      </c>
      <c r="D7" s="2" t="s">
        <v>321</v>
      </c>
      <c r="E7" s="2" t="s">
        <v>4</v>
      </c>
      <c r="F7" s="2">
        <f>1904/53</f>
        <v>35.924528301886795</v>
      </c>
      <c r="G7" s="2" t="s">
        <v>5</v>
      </c>
    </row>
    <row r="9" spans="1:8" x14ac:dyDescent="0.35">
      <c r="A9" t="s">
        <v>420</v>
      </c>
      <c r="B9" t="s">
        <v>421</v>
      </c>
      <c r="C9" t="s">
        <v>422</v>
      </c>
      <c r="D9" t="s">
        <v>287</v>
      </c>
      <c r="E9" t="s">
        <v>4</v>
      </c>
      <c r="F9">
        <f>312/12.5</f>
        <v>24.96</v>
      </c>
      <c r="G9" t="s">
        <v>423</v>
      </c>
    </row>
    <row r="11" spans="1:8" x14ac:dyDescent="0.35">
      <c r="A11" t="s">
        <v>523</v>
      </c>
      <c r="B11" t="s">
        <v>524</v>
      </c>
      <c r="C11" t="s">
        <v>525</v>
      </c>
      <c r="D11" t="s">
        <v>153</v>
      </c>
      <c r="E11" t="s">
        <v>4</v>
      </c>
      <c r="F11">
        <f>785/26</f>
        <v>30.192307692307693</v>
      </c>
      <c r="G11" t="s">
        <v>5</v>
      </c>
    </row>
    <row r="13" spans="1:8" x14ac:dyDescent="0.35">
      <c r="A13" t="s">
        <v>642</v>
      </c>
      <c r="B13" t="s">
        <v>643</v>
      </c>
      <c r="C13" t="s">
        <v>644</v>
      </c>
      <c r="D13" t="s">
        <v>9</v>
      </c>
      <c r="E13" t="s">
        <v>4</v>
      </c>
      <c r="F13">
        <f>1157/65</f>
        <v>17.8</v>
      </c>
      <c r="G13" t="s">
        <v>10</v>
      </c>
      <c r="H13" t="s">
        <v>645</v>
      </c>
    </row>
    <row r="15" spans="1:8" x14ac:dyDescent="0.35">
      <c r="A15" t="s">
        <v>655</v>
      </c>
      <c r="B15" t="s">
        <v>656</v>
      </c>
      <c r="C15" t="s">
        <v>657</v>
      </c>
      <c r="D15" t="s">
        <v>498</v>
      </c>
      <c r="E15" t="s">
        <v>4</v>
      </c>
      <c r="F15">
        <f>164/8</f>
        <v>20.5</v>
      </c>
      <c r="G15" t="s">
        <v>5</v>
      </c>
    </row>
    <row r="17" spans="1:7" x14ac:dyDescent="0.35">
      <c r="A17" t="s">
        <v>721</v>
      </c>
      <c r="B17" t="s">
        <v>722</v>
      </c>
      <c r="C17" t="s">
        <v>723</v>
      </c>
      <c r="D17" t="s">
        <v>265</v>
      </c>
      <c r="E17" t="s">
        <v>4</v>
      </c>
      <c r="F17">
        <f>865/45</f>
        <v>19.222222222222221</v>
      </c>
      <c r="G17" t="s">
        <v>10</v>
      </c>
    </row>
    <row r="19" spans="1:7" x14ac:dyDescent="0.35">
      <c r="A19" t="s">
        <v>773</v>
      </c>
      <c r="B19" t="s">
        <v>774</v>
      </c>
      <c r="C19" t="s">
        <v>199</v>
      </c>
      <c r="D19" t="s">
        <v>613</v>
      </c>
      <c r="E19" t="s">
        <v>4</v>
      </c>
      <c r="F19">
        <f>1000/40</f>
        <v>25</v>
      </c>
      <c r="G19" t="s">
        <v>10</v>
      </c>
    </row>
    <row r="21" spans="1:7" x14ac:dyDescent="0.35">
      <c r="A21" t="s">
        <v>777</v>
      </c>
      <c r="B21" t="s">
        <v>778</v>
      </c>
      <c r="C21" t="s">
        <v>779</v>
      </c>
      <c r="D21" t="s">
        <v>188</v>
      </c>
      <c r="E21" t="s">
        <v>4</v>
      </c>
      <c r="F21">
        <f>136/4.5</f>
        <v>30.222222222222221</v>
      </c>
      <c r="G21" t="s">
        <v>5</v>
      </c>
    </row>
    <row r="23" spans="1:7" x14ac:dyDescent="0.35">
      <c r="A23" t="s">
        <v>802</v>
      </c>
      <c r="B23" t="s">
        <v>206</v>
      </c>
      <c r="C23" t="s">
        <v>803</v>
      </c>
      <c r="D23" t="s">
        <v>498</v>
      </c>
      <c r="E23" t="s">
        <v>4</v>
      </c>
      <c r="F23">
        <f>593/8</f>
        <v>74.125</v>
      </c>
      <c r="G23" t="s">
        <v>5</v>
      </c>
    </row>
    <row r="25" spans="1:7" x14ac:dyDescent="0.35">
      <c r="A25" t="s">
        <v>886</v>
      </c>
      <c r="B25" t="s">
        <v>307</v>
      </c>
      <c r="C25" t="s">
        <v>887</v>
      </c>
      <c r="D25" t="s">
        <v>122</v>
      </c>
      <c r="E25" t="s">
        <v>4</v>
      </c>
      <c r="F25">
        <f>1000/16</f>
        <v>62.5</v>
      </c>
      <c r="G25" t="s">
        <v>5</v>
      </c>
    </row>
    <row r="27" spans="1:7" x14ac:dyDescent="0.35">
      <c r="A27" t="s">
        <v>904</v>
      </c>
      <c r="B27" t="s">
        <v>905</v>
      </c>
      <c r="C27" t="s">
        <v>906</v>
      </c>
      <c r="D27" t="s">
        <v>153</v>
      </c>
      <c r="E27" t="s">
        <v>4</v>
      </c>
      <c r="F27">
        <f>678/26</f>
        <v>26.076923076923077</v>
      </c>
      <c r="G27" t="s">
        <v>15</v>
      </c>
    </row>
    <row r="28" spans="1:7" x14ac:dyDescent="0.35">
      <c r="D28" t="s">
        <v>907</v>
      </c>
      <c r="F28">
        <f>678/32</f>
        <v>21.1875</v>
      </c>
    </row>
    <row r="30" spans="1:7" x14ac:dyDescent="0.35">
      <c r="A30" t="s">
        <v>908</v>
      </c>
      <c r="B30" t="s">
        <v>909</v>
      </c>
      <c r="C30" t="s">
        <v>910</v>
      </c>
      <c r="D30" t="s">
        <v>911</v>
      </c>
      <c r="E30" t="s">
        <v>4</v>
      </c>
      <c r="F30">
        <f>1315/56</f>
        <v>23.482142857142858</v>
      </c>
      <c r="G30" t="s">
        <v>10</v>
      </c>
    </row>
    <row r="32" spans="1:7" x14ac:dyDescent="0.35">
      <c r="A32" t="s">
        <v>925</v>
      </c>
      <c r="B32" t="s">
        <v>640</v>
      </c>
      <c r="C32" t="s">
        <v>926</v>
      </c>
      <c r="D32" t="s">
        <v>876</v>
      </c>
      <c r="E32" t="s">
        <v>4</v>
      </c>
      <c r="F32">
        <f>565/22.5</f>
        <v>25.111111111111111</v>
      </c>
      <c r="G32" t="s">
        <v>5</v>
      </c>
    </row>
    <row r="34" spans="1:7" x14ac:dyDescent="0.35">
      <c r="A34" t="s">
        <v>1042</v>
      </c>
      <c r="B34" t="s">
        <v>1043</v>
      </c>
      <c r="C34" t="s">
        <v>1044</v>
      </c>
      <c r="D34" t="s">
        <v>391</v>
      </c>
      <c r="E34" t="s">
        <v>4</v>
      </c>
      <c r="F34">
        <f>2102/73</f>
        <v>28.794520547945204</v>
      </c>
      <c r="G34" t="s">
        <v>5</v>
      </c>
    </row>
    <row r="36" spans="1:7" x14ac:dyDescent="0.35">
      <c r="A36" t="s">
        <v>1072</v>
      </c>
      <c r="B36" t="s">
        <v>1073</v>
      </c>
      <c r="C36" t="s">
        <v>1074</v>
      </c>
      <c r="D36" t="s">
        <v>626</v>
      </c>
      <c r="E36" t="s">
        <v>4</v>
      </c>
      <c r="F36">
        <f>783/27.5</f>
        <v>28.472727272727273</v>
      </c>
      <c r="G36" t="s">
        <v>5</v>
      </c>
    </row>
    <row r="38" spans="1:7" x14ac:dyDescent="0.35">
      <c r="A38" t="s">
        <v>1091</v>
      </c>
      <c r="B38" t="s">
        <v>1092</v>
      </c>
      <c r="C38" t="s">
        <v>1093</v>
      </c>
      <c r="E38" t="s">
        <v>4</v>
      </c>
      <c r="F38">
        <f>25/0.3</f>
        <v>83.333333333333343</v>
      </c>
      <c r="G38" t="s">
        <v>5</v>
      </c>
    </row>
    <row r="40" spans="1:7" x14ac:dyDescent="0.35">
      <c r="A40" t="s">
        <v>1126</v>
      </c>
      <c r="B40" t="s">
        <v>65</v>
      </c>
      <c r="C40" t="s">
        <v>1127</v>
      </c>
      <c r="D40" t="s">
        <v>1128</v>
      </c>
      <c r="E40" t="s">
        <v>4</v>
      </c>
      <c r="F40">
        <f>132/4.8</f>
        <v>27.5</v>
      </c>
      <c r="G40" t="s">
        <v>5</v>
      </c>
    </row>
    <row r="42" spans="1:7" x14ac:dyDescent="0.35">
      <c r="A42" t="s">
        <v>1131</v>
      </c>
      <c r="B42" t="s">
        <v>1132</v>
      </c>
      <c r="C42" t="s">
        <v>622</v>
      </c>
      <c r="D42" t="s">
        <v>911</v>
      </c>
      <c r="E42" t="s">
        <v>4</v>
      </c>
      <c r="F42">
        <f>1690/56</f>
        <v>30.178571428571427</v>
      </c>
      <c r="G42" t="s">
        <v>5</v>
      </c>
    </row>
    <row r="44" spans="1:7" x14ac:dyDescent="0.35">
      <c r="A44" t="s">
        <v>1150</v>
      </c>
      <c r="B44" t="s">
        <v>1151</v>
      </c>
      <c r="C44" t="s">
        <v>1152</v>
      </c>
      <c r="D44" t="s">
        <v>19</v>
      </c>
      <c r="E44" t="s">
        <v>4</v>
      </c>
      <c r="F44">
        <f>459/9</f>
        <v>51</v>
      </c>
      <c r="G44" t="s">
        <v>5</v>
      </c>
    </row>
    <row r="46" spans="1:7" x14ac:dyDescent="0.35">
      <c r="A46" t="s">
        <v>1192</v>
      </c>
      <c r="B46" t="s">
        <v>176</v>
      </c>
      <c r="C46" t="s">
        <v>1193</v>
      </c>
      <c r="D46" t="s">
        <v>1059</v>
      </c>
      <c r="E46" t="s">
        <v>4</v>
      </c>
      <c r="F46">
        <f>456/17.5</f>
        <v>26.057142857142857</v>
      </c>
      <c r="G46" t="s">
        <v>597</v>
      </c>
    </row>
    <row r="48" spans="1:7" x14ac:dyDescent="0.35">
      <c r="A48" t="s">
        <v>1277</v>
      </c>
      <c r="B48" t="s">
        <v>1278</v>
      </c>
      <c r="C48" t="s">
        <v>779</v>
      </c>
      <c r="D48" t="s">
        <v>695</v>
      </c>
      <c r="E48" t="s">
        <v>4</v>
      </c>
      <c r="F48">
        <f>50/2</f>
        <v>25</v>
      </c>
      <c r="G48" t="s">
        <v>5</v>
      </c>
    </row>
    <row r="50" spans="1:7" x14ac:dyDescent="0.35">
      <c r="A50" t="s">
        <v>1296</v>
      </c>
      <c r="B50" t="s">
        <v>29</v>
      </c>
      <c r="C50" t="s">
        <v>30</v>
      </c>
    </row>
    <row r="52" spans="1:7" x14ac:dyDescent="0.35">
      <c r="A52" t="s">
        <v>1440</v>
      </c>
      <c r="B52" t="s">
        <v>739</v>
      </c>
      <c r="C52" t="s">
        <v>1441</v>
      </c>
      <c r="D52" t="s">
        <v>89</v>
      </c>
      <c r="E52" t="s">
        <v>4</v>
      </c>
      <c r="F52">
        <f>400/4</f>
        <v>100</v>
      </c>
      <c r="G52" t="s">
        <v>5</v>
      </c>
    </row>
    <row r="54" spans="1:7" x14ac:dyDescent="0.35">
      <c r="A54" t="s">
        <v>1479</v>
      </c>
      <c r="B54" t="s">
        <v>1480</v>
      </c>
      <c r="C54" t="s">
        <v>1481</v>
      </c>
      <c r="D54" t="s">
        <v>63</v>
      </c>
      <c r="E54" t="s">
        <v>4</v>
      </c>
      <c r="F54">
        <f>785/60</f>
        <v>13.083333333333334</v>
      </c>
      <c r="G54" t="s">
        <v>10</v>
      </c>
    </row>
    <row r="56" spans="1:7" x14ac:dyDescent="0.35">
      <c r="A56" t="s">
        <v>1498</v>
      </c>
      <c r="B56" t="s">
        <v>1499</v>
      </c>
      <c r="C56" t="s">
        <v>1500</v>
      </c>
      <c r="D56" t="s">
        <v>1059</v>
      </c>
      <c r="E56" t="s">
        <v>4</v>
      </c>
      <c r="F56">
        <f>470/17.5</f>
        <v>26.857142857142858</v>
      </c>
      <c r="G56" t="s">
        <v>5</v>
      </c>
    </row>
    <row r="58" spans="1:7" x14ac:dyDescent="0.35">
      <c r="A58" t="s">
        <v>1589</v>
      </c>
      <c r="B58" t="s">
        <v>1097</v>
      </c>
      <c r="C58" t="s">
        <v>1349</v>
      </c>
      <c r="D58" t="s">
        <v>827</v>
      </c>
      <c r="E58" t="s">
        <v>4</v>
      </c>
      <c r="F58">
        <f>1410/33</f>
        <v>42.727272727272727</v>
      </c>
      <c r="G58" t="s">
        <v>5</v>
      </c>
    </row>
    <row r="60" spans="1:7" x14ac:dyDescent="0.35">
      <c r="A60" t="s">
        <v>1595</v>
      </c>
      <c r="B60" t="s">
        <v>1596</v>
      </c>
      <c r="C60" t="s">
        <v>1597</v>
      </c>
      <c r="D60" t="s">
        <v>1598</v>
      </c>
      <c r="E60" t="s">
        <v>4</v>
      </c>
      <c r="F60">
        <f>875/67</f>
        <v>13.059701492537313</v>
      </c>
      <c r="G60" t="s">
        <v>10</v>
      </c>
    </row>
    <row r="62" spans="1:7" x14ac:dyDescent="0.35">
      <c r="A62" t="s">
        <v>1605</v>
      </c>
      <c r="B62" t="s">
        <v>1606</v>
      </c>
      <c r="C62" t="s">
        <v>1607</v>
      </c>
      <c r="D62" t="s">
        <v>63</v>
      </c>
      <c r="E62" t="s">
        <v>4</v>
      </c>
      <c r="F62">
        <f>1484/60</f>
        <v>24.733333333333334</v>
      </c>
      <c r="G62" t="s">
        <v>10</v>
      </c>
    </row>
    <row r="64" spans="1:7" x14ac:dyDescent="0.35">
      <c r="A64" t="s">
        <v>1620</v>
      </c>
      <c r="B64" t="s">
        <v>1621</v>
      </c>
      <c r="C64" t="s">
        <v>1622</v>
      </c>
      <c r="D64" t="s">
        <v>1623</v>
      </c>
      <c r="E64" t="s">
        <v>4</v>
      </c>
      <c r="F64">
        <f>2780/82</f>
        <v>33.902439024390247</v>
      </c>
      <c r="G64" t="s">
        <v>5</v>
      </c>
    </row>
    <row r="66" spans="1:7" x14ac:dyDescent="0.35">
      <c r="A66" t="s">
        <v>1754</v>
      </c>
      <c r="B66" t="s">
        <v>1755</v>
      </c>
      <c r="C66" t="s">
        <v>1756</v>
      </c>
      <c r="D66" t="s">
        <v>898</v>
      </c>
      <c r="E66" t="s">
        <v>4</v>
      </c>
      <c r="F66">
        <f>2016/51</f>
        <v>39.529411764705884</v>
      </c>
      <c r="G66" t="s">
        <v>5</v>
      </c>
    </row>
    <row r="68" spans="1:7" x14ac:dyDescent="0.35">
      <c r="A68" t="s">
        <v>1760</v>
      </c>
      <c r="B68" t="s">
        <v>850</v>
      </c>
      <c r="C68" t="s">
        <v>1761</v>
      </c>
      <c r="D68" t="s">
        <v>768</v>
      </c>
      <c r="E68" t="s">
        <v>4</v>
      </c>
      <c r="F68">
        <f>1595/52</f>
        <v>30.673076923076923</v>
      </c>
      <c r="G68" t="s">
        <v>5</v>
      </c>
    </row>
    <row r="70" spans="1:7" x14ac:dyDescent="0.35">
      <c r="A70" t="s">
        <v>1784</v>
      </c>
      <c r="B70" t="s">
        <v>1785</v>
      </c>
      <c r="C70" t="s">
        <v>1786</v>
      </c>
      <c r="D70" t="s">
        <v>1787</v>
      </c>
      <c r="E70" t="s">
        <v>4</v>
      </c>
      <c r="F70">
        <f>297/15.2</f>
        <v>19.539473684210527</v>
      </c>
      <c r="G70" t="s">
        <v>15</v>
      </c>
    </row>
    <row r="72" spans="1:7" x14ac:dyDescent="0.35">
      <c r="A72" t="s">
        <v>1813</v>
      </c>
      <c r="B72" t="s">
        <v>95</v>
      </c>
      <c r="C72" t="s">
        <v>1814</v>
      </c>
      <c r="D72" t="s">
        <v>93</v>
      </c>
      <c r="E72" t="s">
        <v>4</v>
      </c>
      <c r="F72">
        <f>113/4.5</f>
        <v>25.111111111111111</v>
      </c>
      <c r="G72" t="s">
        <v>5</v>
      </c>
    </row>
    <row r="74" spans="1:7" x14ac:dyDescent="0.35">
      <c r="A74" t="s">
        <v>1951</v>
      </c>
      <c r="B74" t="s">
        <v>1952</v>
      </c>
      <c r="C74" t="s">
        <v>1953</v>
      </c>
      <c r="D74" t="s">
        <v>229</v>
      </c>
      <c r="E74" t="s">
        <v>4</v>
      </c>
      <c r="F74">
        <f>1460/31</f>
        <v>47.096774193548384</v>
      </c>
      <c r="G74" t="s">
        <v>5</v>
      </c>
    </row>
    <row r="76" spans="1:7" x14ac:dyDescent="0.35">
      <c r="A76" t="s">
        <v>2005</v>
      </c>
      <c r="B76" t="s">
        <v>519</v>
      </c>
      <c r="C76" t="s">
        <v>1036</v>
      </c>
      <c r="D76" t="s">
        <v>75</v>
      </c>
      <c r="E76" t="s">
        <v>4</v>
      </c>
      <c r="F76">
        <f>722/15.5</f>
        <v>46.58064516129032</v>
      </c>
      <c r="G76" t="s">
        <v>597</v>
      </c>
    </row>
    <row r="77" spans="1:7" x14ac:dyDescent="0.35">
      <c r="D77" t="s">
        <v>2006</v>
      </c>
      <c r="F77">
        <f>722/22</f>
        <v>32.81818181818182</v>
      </c>
      <c r="G77" t="s">
        <v>597</v>
      </c>
    </row>
    <row r="79" spans="1:7" x14ac:dyDescent="0.35">
      <c r="A79" t="s">
        <v>2029</v>
      </c>
      <c r="B79" t="s">
        <v>2030</v>
      </c>
      <c r="C79" t="s">
        <v>973</v>
      </c>
      <c r="D79" t="s">
        <v>413</v>
      </c>
      <c r="E79" t="s">
        <v>4</v>
      </c>
      <c r="F79">
        <f>2163/46</f>
        <v>47.021739130434781</v>
      </c>
      <c r="G79" t="s">
        <v>5</v>
      </c>
    </row>
    <row r="81" spans="1:7" x14ac:dyDescent="0.35">
      <c r="A81" t="s">
        <v>2072</v>
      </c>
      <c r="B81" t="s">
        <v>29</v>
      </c>
      <c r="C81" t="s">
        <v>2073</v>
      </c>
      <c r="D81" t="s">
        <v>387</v>
      </c>
      <c r="E81" t="s">
        <v>4</v>
      </c>
      <c r="F81">
        <f>420/7</f>
        <v>60</v>
      </c>
      <c r="G81" t="s">
        <v>5</v>
      </c>
    </row>
    <row r="83" spans="1:7" x14ac:dyDescent="0.35">
      <c r="A83" t="s">
        <v>2088</v>
      </c>
      <c r="B83" t="s">
        <v>2089</v>
      </c>
      <c r="C83" t="s">
        <v>2090</v>
      </c>
      <c r="D83" t="s">
        <v>391</v>
      </c>
      <c r="E83" t="s">
        <v>4</v>
      </c>
      <c r="F83">
        <f>1100/73</f>
        <v>15.068493150684931</v>
      </c>
      <c r="G83" t="s">
        <v>10</v>
      </c>
    </row>
    <row r="85" spans="1:7" x14ac:dyDescent="0.35">
      <c r="A85" t="s">
        <v>2133</v>
      </c>
      <c r="B85" t="s">
        <v>2134</v>
      </c>
      <c r="C85" t="s">
        <v>2135</v>
      </c>
      <c r="D85" t="s">
        <v>280</v>
      </c>
      <c r="E85" t="s">
        <v>4</v>
      </c>
      <c r="F85">
        <f>391/20</f>
        <v>19.55</v>
      </c>
      <c r="G85" t="s">
        <v>10</v>
      </c>
    </row>
    <row r="87" spans="1:7" x14ac:dyDescent="0.35">
      <c r="A87" t="s">
        <v>2157</v>
      </c>
      <c r="B87" t="s">
        <v>1974</v>
      </c>
      <c r="C87" t="s">
        <v>2158</v>
      </c>
      <c r="D87" t="s">
        <v>23</v>
      </c>
      <c r="E87" t="s">
        <v>4</v>
      </c>
      <c r="F87">
        <f>583/21</f>
        <v>27.761904761904763</v>
      </c>
      <c r="G87" t="s">
        <v>10</v>
      </c>
    </row>
    <row r="89" spans="1:7" x14ac:dyDescent="0.35">
      <c r="A89" t="s">
        <v>2222</v>
      </c>
      <c r="B89" t="s">
        <v>69</v>
      </c>
      <c r="C89" t="s">
        <v>2223</v>
      </c>
      <c r="D89" t="s">
        <v>71</v>
      </c>
      <c r="E89" t="s">
        <v>4</v>
      </c>
      <c r="F89">
        <f>1535/48</f>
        <v>31.979166666666668</v>
      </c>
      <c r="G89" t="s">
        <v>5</v>
      </c>
    </row>
    <row r="91" spans="1:7" x14ac:dyDescent="0.35">
      <c r="A91" t="s">
        <v>2306</v>
      </c>
      <c r="B91" t="s">
        <v>734</v>
      </c>
      <c r="C91" t="s">
        <v>199</v>
      </c>
      <c r="D91" t="s">
        <v>974</v>
      </c>
      <c r="E91" t="s">
        <v>4</v>
      </c>
      <c r="F91">
        <f>1600/41</f>
        <v>39.024390243902438</v>
      </c>
      <c r="G91" t="s">
        <v>5</v>
      </c>
    </row>
    <row r="93" spans="1:7" x14ac:dyDescent="0.35">
      <c r="A93" t="s">
        <v>2388</v>
      </c>
      <c r="B93" t="s">
        <v>29</v>
      </c>
      <c r="C93" t="s">
        <v>30</v>
      </c>
    </row>
    <row r="95" spans="1:7" x14ac:dyDescent="0.35">
      <c r="A95" t="s">
        <v>2421</v>
      </c>
      <c r="B95" t="s">
        <v>1449</v>
      </c>
      <c r="C95" t="s">
        <v>2422</v>
      </c>
      <c r="D95" t="s">
        <v>86</v>
      </c>
      <c r="E95" t="s">
        <v>4</v>
      </c>
      <c r="F95">
        <f>938/22</f>
        <v>42.636363636363633</v>
      </c>
      <c r="G95" t="s">
        <v>5</v>
      </c>
    </row>
    <row r="97" spans="1:7" x14ac:dyDescent="0.35">
      <c r="A97" t="s">
        <v>2451</v>
      </c>
      <c r="B97" t="s">
        <v>2452</v>
      </c>
      <c r="C97" t="s">
        <v>2453</v>
      </c>
      <c r="D97" t="s">
        <v>681</v>
      </c>
      <c r="E97" t="s">
        <v>4</v>
      </c>
      <c r="F97">
        <f>1625/85</f>
        <v>19.117647058823529</v>
      </c>
      <c r="G97" t="s">
        <v>10</v>
      </c>
    </row>
    <row r="99" spans="1:7" x14ac:dyDescent="0.35">
      <c r="A99" t="s">
        <v>2472</v>
      </c>
      <c r="B99" t="s">
        <v>2473</v>
      </c>
      <c r="C99" t="s">
        <v>2474</v>
      </c>
      <c r="D99" t="s">
        <v>59</v>
      </c>
      <c r="E99" t="s">
        <v>4</v>
      </c>
      <c r="F99">
        <f>315/13</f>
        <v>24.23076923076923</v>
      </c>
    </row>
    <row r="101" spans="1:7" x14ac:dyDescent="0.35">
      <c r="A101" t="s">
        <v>2477</v>
      </c>
      <c r="B101" t="s">
        <v>2478</v>
      </c>
      <c r="C101" t="s">
        <v>2479</v>
      </c>
      <c r="D101" t="s">
        <v>2480</v>
      </c>
      <c r="E101" t="s">
        <v>4</v>
      </c>
      <c r="F101">
        <f>5200/185</f>
        <v>28.108108108108109</v>
      </c>
      <c r="G101" t="s">
        <v>10</v>
      </c>
    </row>
    <row r="103" spans="1:7" x14ac:dyDescent="0.35">
      <c r="A103" t="s">
        <v>2519</v>
      </c>
      <c r="B103" t="s">
        <v>1650</v>
      </c>
      <c r="C103" t="s">
        <v>2520</v>
      </c>
      <c r="D103" t="s">
        <v>19</v>
      </c>
      <c r="E103" t="s">
        <v>4</v>
      </c>
      <c r="F103">
        <f>60/9</f>
        <v>6.666666666666667</v>
      </c>
      <c r="G103" t="s">
        <v>10</v>
      </c>
    </row>
    <row r="105" spans="1:7" x14ac:dyDescent="0.35">
      <c r="A105" t="s">
        <v>2554</v>
      </c>
      <c r="B105" t="s">
        <v>1384</v>
      </c>
      <c r="C105" t="s">
        <v>1263</v>
      </c>
      <c r="D105" t="s">
        <v>1128</v>
      </c>
      <c r="E105" t="s">
        <v>4</v>
      </c>
      <c r="F105">
        <f>80/4.8</f>
        <v>16.666666666666668</v>
      </c>
      <c r="G105" t="s">
        <v>10</v>
      </c>
    </row>
    <row r="107" spans="1:7" x14ac:dyDescent="0.35">
      <c r="A107" t="s">
        <v>2569</v>
      </c>
      <c r="B107" t="s">
        <v>2570</v>
      </c>
      <c r="C107" t="s">
        <v>887</v>
      </c>
      <c r="D107" t="s">
        <v>1472</v>
      </c>
      <c r="E107" t="s">
        <v>4</v>
      </c>
      <c r="F107">
        <f>640/15.7</f>
        <v>40.764331210191088</v>
      </c>
      <c r="G107" t="s">
        <v>5</v>
      </c>
    </row>
    <row r="109" spans="1:7" x14ac:dyDescent="0.35">
      <c r="A109" t="s">
        <v>2618</v>
      </c>
      <c r="B109" t="s">
        <v>448</v>
      </c>
      <c r="C109" t="s">
        <v>2619</v>
      </c>
      <c r="D109" t="s">
        <v>79</v>
      </c>
      <c r="E109" t="s">
        <v>4</v>
      </c>
      <c r="F109">
        <f>318/10</f>
        <v>31.8</v>
      </c>
      <c r="G109" t="s">
        <v>5</v>
      </c>
    </row>
    <row r="111" spans="1:7" x14ac:dyDescent="0.35">
      <c r="A111" t="s">
        <v>2629</v>
      </c>
      <c r="B111" t="s">
        <v>2630</v>
      </c>
      <c r="C111" t="s">
        <v>2631</v>
      </c>
      <c r="D111" t="s">
        <v>2632</v>
      </c>
      <c r="E111" t="s">
        <v>4</v>
      </c>
      <c r="F111">
        <f>4262/126</f>
        <v>33.825396825396822</v>
      </c>
      <c r="G111" t="s">
        <v>5</v>
      </c>
    </row>
    <row r="113" spans="1:7" x14ac:dyDescent="0.35">
      <c r="A113" t="s">
        <v>2700</v>
      </c>
      <c r="B113" t="s">
        <v>1019</v>
      </c>
      <c r="C113" t="s">
        <v>2701</v>
      </c>
      <c r="D113" t="s">
        <v>2702</v>
      </c>
      <c r="E113" t="s">
        <v>4</v>
      </c>
      <c r="F113">
        <f>188/8.4</f>
        <v>22.38095238095238</v>
      </c>
      <c r="G113" t="s">
        <v>5</v>
      </c>
    </row>
    <row r="115" spans="1:7" x14ac:dyDescent="0.35">
      <c r="A115" t="s">
        <v>2723</v>
      </c>
      <c r="B115" t="s">
        <v>206</v>
      </c>
      <c r="C115" t="s">
        <v>1875</v>
      </c>
      <c r="D115" t="s">
        <v>79</v>
      </c>
      <c r="E115" t="s">
        <v>4</v>
      </c>
      <c r="F115">
        <f>675/10</f>
        <v>67.5</v>
      </c>
      <c r="G115" t="s">
        <v>5</v>
      </c>
    </row>
    <row r="117" spans="1:7" x14ac:dyDescent="0.35">
      <c r="A117" t="s">
        <v>2724</v>
      </c>
      <c r="B117" t="s">
        <v>2725</v>
      </c>
      <c r="C117" t="s">
        <v>1373</v>
      </c>
      <c r="D117" t="s">
        <v>961</v>
      </c>
      <c r="E117" t="s">
        <v>4</v>
      </c>
      <c r="F117">
        <f>1767/83</f>
        <v>21.289156626506024</v>
      </c>
      <c r="G117" t="s">
        <v>10</v>
      </c>
    </row>
    <row r="119" spans="1:7" x14ac:dyDescent="0.35">
      <c r="A119" t="s">
        <v>2741</v>
      </c>
      <c r="B119" t="s">
        <v>2742</v>
      </c>
      <c r="C119" t="s">
        <v>2743</v>
      </c>
      <c r="D119" t="s">
        <v>71</v>
      </c>
      <c r="E119" t="s">
        <v>4</v>
      </c>
      <c r="F119">
        <f>907/48</f>
        <v>18.895833333333332</v>
      </c>
      <c r="G119" t="s">
        <v>10</v>
      </c>
    </row>
    <row r="121" spans="1:7" x14ac:dyDescent="0.35">
      <c r="A121" t="s">
        <v>2773</v>
      </c>
      <c r="B121" t="s">
        <v>2774</v>
      </c>
      <c r="C121" t="s">
        <v>2775</v>
      </c>
      <c r="D121" t="s">
        <v>144</v>
      </c>
      <c r="E121" t="s">
        <v>4</v>
      </c>
      <c r="F121">
        <f>400/30</f>
        <v>13.333333333333334</v>
      </c>
      <c r="G121" t="s">
        <v>10</v>
      </c>
    </row>
    <row r="123" spans="1:7" x14ac:dyDescent="0.35">
      <c r="A123" t="s">
        <v>2782</v>
      </c>
      <c r="B123" t="s">
        <v>790</v>
      </c>
      <c r="C123" t="s">
        <v>2783</v>
      </c>
      <c r="D123" t="s">
        <v>494</v>
      </c>
      <c r="E123" t="s">
        <v>4</v>
      </c>
      <c r="F123">
        <f>1454/34</f>
        <v>42.764705882352942</v>
      </c>
      <c r="G123" t="s">
        <v>5</v>
      </c>
    </row>
    <row r="125" spans="1:7" x14ac:dyDescent="0.35">
      <c r="A125" t="s">
        <v>2795</v>
      </c>
      <c r="B125" t="s">
        <v>2796</v>
      </c>
      <c r="C125" t="s">
        <v>2797</v>
      </c>
      <c r="D125" t="s">
        <v>827</v>
      </c>
      <c r="E125" t="s">
        <v>4</v>
      </c>
      <c r="F125">
        <f>800/33</f>
        <v>24.242424242424242</v>
      </c>
      <c r="G125" t="s">
        <v>10</v>
      </c>
    </row>
    <row r="127" spans="1:7" x14ac:dyDescent="0.35">
      <c r="A127" t="s">
        <v>2817</v>
      </c>
      <c r="B127" t="s">
        <v>405</v>
      </c>
      <c r="C127" t="s">
        <v>42</v>
      </c>
      <c r="D127" t="s">
        <v>387</v>
      </c>
      <c r="E127" t="s">
        <v>4</v>
      </c>
      <c r="F127" t="s">
        <v>2818</v>
      </c>
      <c r="G127" t="s">
        <v>5</v>
      </c>
    </row>
    <row r="129" spans="1:7" x14ac:dyDescent="0.35">
      <c r="A129" t="s">
        <v>2840</v>
      </c>
      <c r="B129" t="s">
        <v>2841</v>
      </c>
      <c r="C129" t="s">
        <v>2797</v>
      </c>
      <c r="D129" t="s">
        <v>827</v>
      </c>
      <c r="E129" t="s">
        <v>4</v>
      </c>
      <c r="F129">
        <f>880/33</f>
        <v>26.666666666666668</v>
      </c>
      <c r="G129" t="s">
        <v>5</v>
      </c>
    </row>
    <row r="131" spans="1:7" x14ac:dyDescent="0.35">
      <c r="A131" t="s">
        <v>2852</v>
      </c>
      <c r="B131" t="s">
        <v>2214</v>
      </c>
      <c r="C131" t="s">
        <v>2853</v>
      </c>
      <c r="D131" t="s">
        <v>164</v>
      </c>
      <c r="E131" t="s">
        <v>4</v>
      </c>
      <c r="F131">
        <f>700/25</f>
        <v>28</v>
      </c>
      <c r="G131" t="s">
        <v>5</v>
      </c>
    </row>
    <row r="133" spans="1:7" x14ac:dyDescent="0.35">
      <c r="A133" t="s">
        <v>2870</v>
      </c>
      <c r="B133" t="s">
        <v>2871</v>
      </c>
      <c r="C133" t="s">
        <v>2872</v>
      </c>
      <c r="D133" t="s">
        <v>1059</v>
      </c>
      <c r="E133" t="s">
        <v>4</v>
      </c>
      <c r="F133">
        <f>260/17.5</f>
        <v>14.857142857142858</v>
      </c>
      <c r="G133" t="s">
        <v>10</v>
      </c>
    </row>
    <row r="135" spans="1:7" x14ac:dyDescent="0.35">
      <c r="A135" t="s">
        <v>2889</v>
      </c>
      <c r="B135" t="s">
        <v>53</v>
      </c>
      <c r="C135" t="s">
        <v>2890</v>
      </c>
      <c r="D135" t="s">
        <v>89</v>
      </c>
      <c r="E135" t="s">
        <v>4</v>
      </c>
      <c r="F135">
        <f>207/4</f>
        <v>51.75</v>
      </c>
      <c r="G135" t="s">
        <v>5</v>
      </c>
    </row>
    <row r="137" spans="1:7" x14ac:dyDescent="0.35">
      <c r="A137" t="s">
        <v>2898</v>
      </c>
      <c r="B137" t="s">
        <v>2149</v>
      </c>
      <c r="C137" t="s">
        <v>2361</v>
      </c>
      <c r="D137" t="s">
        <v>178</v>
      </c>
      <c r="E137" t="s">
        <v>4</v>
      </c>
      <c r="F137">
        <f>900/15</f>
        <v>60</v>
      </c>
      <c r="G137" t="s">
        <v>1255</v>
      </c>
    </row>
    <row r="139" spans="1:7" x14ac:dyDescent="0.35">
      <c r="A139" t="s">
        <v>2901</v>
      </c>
      <c r="B139" t="s">
        <v>2019</v>
      </c>
      <c r="C139" t="s">
        <v>1020</v>
      </c>
      <c r="D139" t="s">
        <v>366</v>
      </c>
      <c r="E139" t="s">
        <v>4</v>
      </c>
      <c r="F139">
        <f>383/14</f>
        <v>27.357142857142858</v>
      </c>
      <c r="G139" t="s">
        <v>5</v>
      </c>
    </row>
    <row r="141" spans="1:7" x14ac:dyDescent="0.35">
      <c r="A141" t="s">
        <v>2952</v>
      </c>
      <c r="B141" t="s">
        <v>2953</v>
      </c>
      <c r="C141" t="s">
        <v>2954</v>
      </c>
      <c r="D141" t="s">
        <v>2955</v>
      </c>
      <c r="E141" t="s">
        <v>4</v>
      </c>
      <c r="F141">
        <f>1800/79</f>
        <v>22.784810126582279</v>
      </c>
      <c r="G141" t="s">
        <v>10</v>
      </c>
    </row>
    <row r="143" spans="1:7" x14ac:dyDescent="0.35">
      <c r="A143" t="s">
        <v>2741</v>
      </c>
      <c r="B143" t="s">
        <v>2742</v>
      </c>
      <c r="C143" t="s">
        <v>2743</v>
      </c>
      <c r="D143" t="s">
        <v>39</v>
      </c>
      <c r="E143" t="s">
        <v>4</v>
      </c>
      <c r="F143">
        <f>923/49</f>
        <v>18.836734693877553</v>
      </c>
      <c r="G143" t="s">
        <v>10</v>
      </c>
    </row>
    <row r="145" spans="1:7" x14ac:dyDescent="0.35">
      <c r="A145" t="s">
        <v>2987</v>
      </c>
      <c r="B145" t="s">
        <v>2988</v>
      </c>
      <c r="C145" t="s">
        <v>2989</v>
      </c>
      <c r="D145" t="s">
        <v>1276</v>
      </c>
      <c r="E145" t="s">
        <v>4</v>
      </c>
      <c r="F145">
        <f>13890/150</f>
        <v>92.6</v>
      </c>
      <c r="G145" t="s">
        <v>5</v>
      </c>
    </row>
    <row r="147" spans="1:7" x14ac:dyDescent="0.35">
      <c r="A147" t="s">
        <v>2994</v>
      </c>
      <c r="B147" t="s">
        <v>1410</v>
      </c>
      <c r="C147" t="s">
        <v>2995</v>
      </c>
      <c r="D147" t="s">
        <v>229</v>
      </c>
      <c r="E147" t="s">
        <v>4</v>
      </c>
      <c r="F147">
        <f>330/31</f>
        <v>10.64516129032258</v>
      </c>
      <c r="G147" t="s">
        <v>10</v>
      </c>
    </row>
    <row r="149" spans="1:7" x14ac:dyDescent="0.35">
      <c r="A149" t="s">
        <v>2999</v>
      </c>
      <c r="B149" t="s">
        <v>3000</v>
      </c>
      <c r="C149" t="s">
        <v>2230</v>
      </c>
      <c r="D149" t="s">
        <v>1983</v>
      </c>
      <c r="E149" t="s">
        <v>2266</v>
      </c>
      <c r="F149">
        <f>2500/61</f>
        <v>40.983606557377051</v>
      </c>
      <c r="G149" t="s">
        <v>5</v>
      </c>
    </row>
    <row r="151" spans="1:7" x14ac:dyDescent="0.35">
      <c r="A151" t="s">
        <v>3076</v>
      </c>
      <c r="B151" t="s">
        <v>3077</v>
      </c>
      <c r="C151" t="s">
        <v>3078</v>
      </c>
      <c r="D151" t="s">
        <v>463</v>
      </c>
      <c r="E151" t="s">
        <v>4</v>
      </c>
      <c r="F151">
        <f>688/24</f>
        <v>28.666666666666668</v>
      </c>
      <c r="G151" t="s">
        <v>597</v>
      </c>
    </row>
    <row r="153" spans="1:7" x14ac:dyDescent="0.35">
      <c r="A153" t="s">
        <v>3083</v>
      </c>
      <c r="B153" t="s">
        <v>2464</v>
      </c>
      <c r="C153" t="s">
        <v>3084</v>
      </c>
      <c r="D153" t="s">
        <v>63</v>
      </c>
      <c r="E153" t="s">
        <v>4</v>
      </c>
      <c r="F153">
        <f>1200/60</f>
        <v>20</v>
      </c>
      <c r="G153" t="s">
        <v>10</v>
      </c>
    </row>
    <row r="155" spans="1:7" x14ac:dyDescent="0.35">
      <c r="A155" t="s">
        <v>2952</v>
      </c>
      <c r="B155" t="s">
        <v>3092</v>
      </c>
      <c r="C155" t="s">
        <v>3093</v>
      </c>
      <c r="D155" t="s">
        <v>170</v>
      </c>
      <c r="E155" t="s">
        <v>4</v>
      </c>
      <c r="F155">
        <f>1800/70</f>
        <v>25.714285714285715</v>
      </c>
      <c r="G155" t="s">
        <v>10</v>
      </c>
    </row>
    <row r="157" spans="1:7" x14ac:dyDescent="0.35">
      <c r="A157" t="s">
        <v>3096</v>
      </c>
      <c r="B157" t="s">
        <v>2075</v>
      </c>
      <c r="C157" t="s">
        <v>3097</v>
      </c>
      <c r="D157" t="s">
        <v>942</v>
      </c>
      <c r="E157" t="s">
        <v>4</v>
      </c>
      <c r="F157">
        <f>795/19</f>
        <v>41.842105263157897</v>
      </c>
      <c r="G157" t="s">
        <v>10</v>
      </c>
    </row>
    <row r="159" spans="1:7" x14ac:dyDescent="0.35">
      <c r="A159" t="s">
        <v>3116</v>
      </c>
      <c r="B159" t="s">
        <v>3117</v>
      </c>
      <c r="C159" t="s">
        <v>3118</v>
      </c>
      <c r="D159" t="s">
        <v>304</v>
      </c>
      <c r="E159" t="s">
        <v>4</v>
      </c>
      <c r="F159">
        <f>4760/165</f>
        <v>28.848484848484848</v>
      </c>
      <c r="G159" t="s">
        <v>10</v>
      </c>
    </row>
    <row r="161" spans="1:7" x14ac:dyDescent="0.35">
      <c r="A161" t="s">
        <v>3149</v>
      </c>
      <c r="B161" t="s">
        <v>1426</v>
      </c>
      <c r="C161" t="s">
        <v>3150</v>
      </c>
      <c r="D161" t="s">
        <v>79</v>
      </c>
      <c r="E161" t="s">
        <v>4</v>
      </c>
      <c r="F161">
        <f>1420/10</f>
        <v>142</v>
      </c>
      <c r="G161" t="s">
        <v>5</v>
      </c>
    </row>
    <row r="163" spans="1:7" x14ac:dyDescent="0.35">
      <c r="A163" t="s">
        <v>3160</v>
      </c>
      <c r="B163" t="s">
        <v>3088</v>
      </c>
      <c r="C163" t="s">
        <v>3161</v>
      </c>
      <c r="D163" t="s">
        <v>695</v>
      </c>
      <c r="E163" t="s">
        <v>4</v>
      </c>
      <c r="F163">
        <f>40/2</f>
        <v>20</v>
      </c>
      <c r="G163" t="s">
        <v>5</v>
      </c>
    </row>
    <row r="165" spans="1:7" x14ac:dyDescent="0.35">
      <c r="A165" t="s">
        <v>3202</v>
      </c>
      <c r="B165" t="s">
        <v>1830</v>
      </c>
      <c r="C165" t="s">
        <v>3203</v>
      </c>
      <c r="D165" t="s">
        <v>3204</v>
      </c>
      <c r="E165" t="s">
        <v>4</v>
      </c>
      <c r="F165">
        <f>208/10.9</f>
        <v>19.082568807339449</v>
      </c>
      <c r="G165" t="s">
        <v>597</v>
      </c>
    </row>
    <row r="167" spans="1:7" x14ac:dyDescent="0.35">
      <c r="A167" t="s">
        <v>3402</v>
      </c>
      <c r="B167" t="s">
        <v>1580</v>
      </c>
      <c r="C167" t="s">
        <v>2532</v>
      </c>
      <c r="D167" t="s">
        <v>366</v>
      </c>
      <c r="E167" t="s">
        <v>4</v>
      </c>
      <c r="F167">
        <f>97/14</f>
        <v>6.9285714285714288</v>
      </c>
      <c r="G167" t="s">
        <v>10</v>
      </c>
    </row>
    <row r="169" spans="1:7" x14ac:dyDescent="0.35">
      <c r="A169" t="s">
        <v>3438</v>
      </c>
      <c r="B169" t="s">
        <v>3439</v>
      </c>
      <c r="C169" t="s">
        <v>1849</v>
      </c>
      <c r="D169" t="s">
        <v>613</v>
      </c>
      <c r="E169" t="s">
        <v>4</v>
      </c>
      <c r="F169">
        <f>800/40</f>
        <v>20</v>
      </c>
      <c r="G169" t="s">
        <v>10</v>
      </c>
    </row>
    <row r="171" spans="1:7" x14ac:dyDescent="0.35">
      <c r="A171" t="s">
        <v>3465</v>
      </c>
      <c r="B171" t="s">
        <v>3466</v>
      </c>
      <c r="C171" t="s">
        <v>88</v>
      </c>
      <c r="D171" t="s">
        <v>3467</v>
      </c>
      <c r="E171" t="s">
        <v>4</v>
      </c>
      <c r="F171">
        <f>75/3.91</f>
        <v>19.181585677749361</v>
      </c>
      <c r="G171" t="s">
        <v>10</v>
      </c>
    </row>
    <row r="173" spans="1:7" x14ac:dyDescent="0.35">
      <c r="A173" t="s">
        <v>3501</v>
      </c>
      <c r="B173" t="s">
        <v>3502</v>
      </c>
      <c r="C173" t="s">
        <v>753</v>
      </c>
      <c r="D173" t="s">
        <v>178</v>
      </c>
      <c r="E173" t="s">
        <v>4</v>
      </c>
      <c r="F173">
        <f>118/15</f>
        <v>7.8666666666666663</v>
      </c>
      <c r="G173" t="s">
        <v>10</v>
      </c>
    </row>
    <row r="175" spans="1:7" x14ac:dyDescent="0.35">
      <c r="A175" t="s">
        <v>3568</v>
      </c>
      <c r="B175" t="s">
        <v>1596</v>
      </c>
      <c r="C175" t="s">
        <v>3569</v>
      </c>
      <c r="D175" t="s">
        <v>573</v>
      </c>
      <c r="E175" t="s">
        <v>4</v>
      </c>
      <c r="F175">
        <f>6350/90</f>
        <v>70.555555555555557</v>
      </c>
      <c r="G175" t="s">
        <v>5</v>
      </c>
    </row>
    <row r="177" spans="1:7" x14ac:dyDescent="0.35">
      <c r="A177" t="s">
        <v>3574</v>
      </c>
      <c r="B177" t="s">
        <v>1230</v>
      </c>
      <c r="C177" t="s">
        <v>871</v>
      </c>
      <c r="D177" t="s">
        <v>280</v>
      </c>
      <c r="E177" t="s">
        <v>4</v>
      </c>
      <c r="F177">
        <f>400/20</f>
        <v>20</v>
      </c>
      <c r="G177" t="s">
        <v>10</v>
      </c>
    </row>
    <row r="179" spans="1:7" x14ac:dyDescent="0.35">
      <c r="A179" t="s">
        <v>3598</v>
      </c>
      <c r="B179" t="s">
        <v>3008</v>
      </c>
      <c r="C179" t="s">
        <v>1260</v>
      </c>
      <c r="D179" t="s">
        <v>3567</v>
      </c>
      <c r="E179" t="s">
        <v>4</v>
      </c>
      <c r="F179">
        <f>9000/71</f>
        <v>126.7605633802817</v>
      </c>
      <c r="G179" t="s">
        <v>5</v>
      </c>
    </row>
    <row r="181" spans="1:7" x14ac:dyDescent="0.35">
      <c r="A181" t="s">
        <v>3599</v>
      </c>
      <c r="B181" t="s">
        <v>429</v>
      </c>
      <c r="C181" t="s">
        <v>3600</v>
      </c>
      <c r="D181" t="s">
        <v>258</v>
      </c>
      <c r="E181" t="s">
        <v>4</v>
      </c>
      <c r="F181">
        <f>72/5</f>
        <v>14.4</v>
      </c>
      <c r="G181" t="s">
        <v>10</v>
      </c>
    </row>
    <row r="183" spans="1:7" x14ac:dyDescent="0.35">
      <c r="A183" t="s">
        <v>3610</v>
      </c>
      <c r="B183" t="s">
        <v>1019</v>
      </c>
      <c r="C183" t="s">
        <v>2831</v>
      </c>
      <c r="D183" t="s">
        <v>122</v>
      </c>
      <c r="E183" t="s">
        <v>4</v>
      </c>
      <c r="F183">
        <f>366/16</f>
        <v>22.875</v>
      </c>
      <c r="G183" t="s">
        <v>3611</v>
      </c>
    </row>
    <row r="185" spans="1:7" x14ac:dyDescent="0.35">
      <c r="A185" t="s">
        <v>3613</v>
      </c>
      <c r="B185" t="s">
        <v>114</v>
      </c>
      <c r="C185" t="s">
        <v>30</v>
      </c>
    </row>
    <row r="187" spans="1:7" x14ac:dyDescent="0.35">
      <c r="A187" t="s">
        <v>3620</v>
      </c>
      <c r="B187" t="s">
        <v>1230</v>
      </c>
      <c r="C187" t="s">
        <v>3621</v>
      </c>
      <c r="D187" t="s">
        <v>144</v>
      </c>
      <c r="E187" t="s">
        <v>4</v>
      </c>
      <c r="F187">
        <f>1245/30</f>
        <v>41.5</v>
      </c>
      <c r="G187" t="s">
        <v>5</v>
      </c>
    </row>
    <row r="189" spans="1:7" x14ac:dyDescent="0.35">
      <c r="A189" t="s">
        <v>3634</v>
      </c>
      <c r="B189" t="s">
        <v>3635</v>
      </c>
      <c r="C189" t="s">
        <v>3636</v>
      </c>
      <c r="D189" t="s">
        <v>3100</v>
      </c>
      <c r="E189" t="s">
        <v>4</v>
      </c>
      <c r="F189">
        <f>1270/75</f>
        <v>16.933333333333334</v>
      </c>
      <c r="G189" t="s">
        <v>10</v>
      </c>
    </row>
    <row r="191" spans="1:7" x14ac:dyDescent="0.35">
      <c r="A191" t="s">
        <v>3648</v>
      </c>
      <c r="B191" t="s">
        <v>3649</v>
      </c>
      <c r="C191" t="s">
        <v>3650</v>
      </c>
      <c r="D191" t="s">
        <v>3651</v>
      </c>
      <c r="E191" t="s">
        <v>4</v>
      </c>
      <c r="F191">
        <f>26830/725</f>
        <v>37.006896551724139</v>
      </c>
      <c r="G191" t="s">
        <v>5</v>
      </c>
    </row>
    <row r="193" spans="1:7" x14ac:dyDescent="0.35">
      <c r="A193" t="s">
        <v>3668</v>
      </c>
      <c r="B193" t="s">
        <v>3669</v>
      </c>
      <c r="C193" t="s">
        <v>3670</v>
      </c>
      <c r="D193" t="s">
        <v>852</v>
      </c>
      <c r="E193" t="s">
        <v>4</v>
      </c>
      <c r="F193">
        <f>1360/57</f>
        <v>23.859649122807017</v>
      </c>
      <c r="G193" t="s">
        <v>10</v>
      </c>
    </row>
    <row r="195" spans="1:7" x14ac:dyDescent="0.35">
      <c r="A195" t="s">
        <v>3675</v>
      </c>
      <c r="B195" t="s">
        <v>3676</v>
      </c>
      <c r="C195" t="s">
        <v>572</v>
      </c>
      <c r="D195" t="s">
        <v>536</v>
      </c>
      <c r="E195" t="s">
        <v>4</v>
      </c>
      <c r="F195">
        <f>600/50</f>
        <v>12</v>
      </c>
      <c r="G195" t="s">
        <v>10</v>
      </c>
    </row>
    <row r="197" spans="1:7" x14ac:dyDescent="0.35">
      <c r="A197" t="s">
        <v>3689</v>
      </c>
      <c r="B197" t="s">
        <v>3690</v>
      </c>
      <c r="C197" t="s">
        <v>3691</v>
      </c>
      <c r="D197" t="s">
        <v>1105</v>
      </c>
      <c r="E197" t="s">
        <v>4</v>
      </c>
      <c r="F197">
        <f>840/80</f>
        <v>10.5</v>
      </c>
      <c r="G197" t="s">
        <v>10</v>
      </c>
    </row>
    <row r="199" spans="1:7" x14ac:dyDescent="0.35">
      <c r="A199" t="s">
        <v>3762</v>
      </c>
      <c r="B199" t="s">
        <v>3763</v>
      </c>
      <c r="C199" t="s">
        <v>806</v>
      </c>
      <c r="D199" t="s">
        <v>626</v>
      </c>
      <c r="E199" t="s">
        <v>4</v>
      </c>
      <c r="F199">
        <f>1138/39</f>
        <v>29.179487179487179</v>
      </c>
      <c r="G199" t="s">
        <v>5</v>
      </c>
    </row>
    <row r="201" spans="1:7" x14ac:dyDescent="0.35">
      <c r="A201" t="s">
        <v>3765</v>
      </c>
      <c r="B201" t="s">
        <v>103</v>
      </c>
      <c r="C201" t="s">
        <v>3766</v>
      </c>
      <c r="D201" t="s">
        <v>134</v>
      </c>
      <c r="E201" t="s">
        <v>4</v>
      </c>
      <c r="F201">
        <f>100/12</f>
        <v>8.3333333333333339</v>
      </c>
      <c r="G201" t="s">
        <v>10</v>
      </c>
    </row>
    <row r="203" spans="1:7" x14ac:dyDescent="0.35">
      <c r="A203" t="s">
        <v>3803</v>
      </c>
      <c r="B203" t="s">
        <v>210</v>
      </c>
      <c r="C203" t="s">
        <v>749</v>
      </c>
      <c r="D203" t="s">
        <v>164</v>
      </c>
      <c r="E203" t="s">
        <v>4</v>
      </c>
      <c r="F203">
        <f>300/25</f>
        <v>12</v>
      </c>
      <c r="G203" t="s">
        <v>10</v>
      </c>
    </row>
    <row r="205" spans="1:7" x14ac:dyDescent="0.35">
      <c r="A205" t="s">
        <v>3826</v>
      </c>
      <c r="B205" t="s">
        <v>3827</v>
      </c>
      <c r="C205" t="s">
        <v>543</v>
      </c>
      <c r="D205" t="s">
        <v>1249</v>
      </c>
      <c r="E205" t="s">
        <v>4</v>
      </c>
      <c r="F205">
        <f>1150/28</f>
        <v>41.071428571428569</v>
      </c>
      <c r="G205" t="s">
        <v>5</v>
      </c>
    </row>
    <row r="207" spans="1:7" x14ac:dyDescent="0.35">
      <c r="A207" t="s">
        <v>3839</v>
      </c>
      <c r="B207" t="s">
        <v>65</v>
      </c>
      <c r="C207" t="s">
        <v>243</v>
      </c>
      <c r="D207" t="s">
        <v>269</v>
      </c>
      <c r="E207" t="s">
        <v>4</v>
      </c>
      <c r="F207">
        <f>375/3</f>
        <v>125</v>
      </c>
      <c r="G207" t="s">
        <v>5</v>
      </c>
    </row>
    <row r="209" spans="1:7" x14ac:dyDescent="0.35">
      <c r="A209" t="s">
        <v>3866</v>
      </c>
      <c r="B209" t="s">
        <v>3625</v>
      </c>
      <c r="C209" t="s">
        <v>2622</v>
      </c>
      <c r="D209" t="s">
        <v>1588</v>
      </c>
      <c r="E209" t="s">
        <v>4</v>
      </c>
      <c r="F209">
        <f>2200/125</f>
        <v>17.600000000000001</v>
      </c>
      <c r="G209" t="s">
        <v>10</v>
      </c>
    </row>
    <row r="211" spans="1:7" x14ac:dyDescent="0.35">
      <c r="A211" t="s">
        <v>3992</v>
      </c>
      <c r="B211" t="s">
        <v>2570</v>
      </c>
      <c r="C211" t="s">
        <v>1215</v>
      </c>
      <c r="D211" t="s">
        <v>309</v>
      </c>
      <c r="E211" t="s">
        <v>4</v>
      </c>
      <c r="F211">
        <f>458/17</f>
        <v>26.941176470588236</v>
      </c>
      <c r="G211" t="s">
        <v>10</v>
      </c>
    </row>
    <row r="213" spans="1:7" x14ac:dyDescent="0.35">
      <c r="A213" t="s">
        <v>4020</v>
      </c>
      <c r="B213" t="s">
        <v>4021</v>
      </c>
      <c r="C213" t="s">
        <v>4022</v>
      </c>
      <c r="D213" t="s">
        <v>1204</v>
      </c>
      <c r="E213" t="s">
        <v>4</v>
      </c>
      <c r="F213">
        <f>122/6.6</f>
        <v>18.484848484848484</v>
      </c>
      <c r="G213" t="s">
        <v>10</v>
      </c>
    </row>
    <row r="215" spans="1:7" x14ac:dyDescent="0.35">
      <c r="A215" t="s">
        <v>4027</v>
      </c>
      <c r="B215" t="s">
        <v>69</v>
      </c>
      <c r="C215" t="s">
        <v>4028</v>
      </c>
      <c r="D215" t="s">
        <v>834</v>
      </c>
      <c r="E215" t="s">
        <v>4</v>
      </c>
      <c r="F215">
        <f>1492/47</f>
        <v>31.74468085106383</v>
      </c>
      <c r="G215" t="s">
        <v>5</v>
      </c>
    </row>
    <row r="217" spans="1:7" x14ac:dyDescent="0.35">
      <c r="A217" t="s">
        <v>4029</v>
      </c>
      <c r="B217" t="s">
        <v>333</v>
      </c>
      <c r="C217" t="s">
        <v>4030</v>
      </c>
      <c r="D217" t="s">
        <v>309</v>
      </c>
      <c r="E217" t="s">
        <v>4</v>
      </c>
      <c r="F217">
        <f>363/17</f>
        <v>21.352941176470587</v>
      </c>
      <c r="G217" t="s">
        <v>10</v>
      </c>
    </row>
    <row r="219" spans="1:7" x14ac:dyDescent="0.35">
      <c r="A219" t="s">
        <v>4033</v>
      </c>
      <c r="B219" t="s">
        <v>2195</v>
      </c>
      <c r="C219" t="s">
        <v>4034</v>
      </c>
      <c r="D219" t="s">
        <v>827</v>
      </c>
      <c r="E219" t="s">
        <v>4</v>
      </c>
      <c r="F219">
        <f>1335/33</f>
        <v>40.454545454545453</v>
      </c>
      <c r="G219" t="s">
        <v>5</v>
      </c>
    </row>
    <row r="221" spans="1:7" x14ac:dyDescent="0.35">
      <c r="A221" t="s">
        <v>4078</v>
      </c>
      <c r="B221" t="s">
        <v>1357</v>
      </c>
      <c r="C221" t="s">
        <v>1175</v>
      </c>
      <c r="D221" t="s">
        <v>2042</v>
      </c>
      <c r="E221" t="s">
        <v>4</v>
      </c>
      <c r="F221">
        <f>5400/225</f>
        <v>24</v>
      </c>
      <c r="G221" t="s">
        <v>10</v>
      </c>
    </row>
    <row r="223" spans="1:7" x14ac:dyDescent="0.35">
      <c r="A223" t="s">
        <v>4096</v>
      </c>
      <c r="B223" t="s">
        <v>4097</v>
      </c>
      <c r="C223" t="s">
        <v>4098</v>
      </c>
      <c r="D223" t="s">
        <v>134</v>
      </c>
      <c r="E223" t="s">
        <v>4</v>
      </c>
      <c r="F223">
        <f>151/12</f>
        <v>12.583333333333334</v>
      </c>
      <c r="G223" t="s">
        <v>10</v>
      </c>
    </row>
    <row r="225" spans="1:7" x14ac:dyDescent="0.35">
      <c r="A225" t="s">
        <v>4112</v>
      </c>
      <c r="B225" t="s">
        <v>4113</v>
      </c>
      <c r="C225" t="s">
        <v>300</v>
      </c>
      <c r="D225" t="s">
        <v>122</v>
      </c>
      <c r="E225" t="s">
        <v>4</v>
      </c>
      <c r="F225">
        <f>490/16</f>
        <v>30.625</v>
      </c>
      <c r="G225" t="s">
        <v>5</v>
      </c>
    </row>
    <row r="227" spans="1:7" x14ac:dyDescent="0.35">
      <c r="A227" t="s">
        <v>4117</v>
      </c>
      <c r="B227" t="s">
        <v>4118</v>
      </c>
      <c r="C227" t="s">
        <v>4119</v>
      </c>
      <c r="D227" t="s">
        <v>613</v>
      </c>
      <c r="E227" t="s">
        <v>4</v>
      </c>
      <c r="F227">
        <f>429/40</f>
        <v>10.725</v>
      </c>
      <c r="G227" t="s">
        <v>10</v>
      </c>
    </row>
    <row r="229" spans="1:7" x14ac:dyDescent="0.35">
      <c r="A229" t="s">
        <v>4132</v>
      </c>
      <c r="B229" t="s">
        <v>4133</v>
      </c>
      <c r="C229" t="s">
        <v>3120</v>
      </c>
      <c r="D229" t="s">
        <v>815</v>
      </c>
      <c r="E229" t="s">
        <v>4</v>
      </c>
      <c r="F229">
        <f>366/32</f>
        <v>11.4375</v>
      </c>
      <c r="G229" t="s">
        <v>10</v>
      </c>
    </row>
    <row r="231" spans="1:7" x14ac:dyDescent="0.35">
      <c r="A231" t="s">
        <v>4142</v>
      </c>
      <c r="B231" t="s">
        <v>4143</v>
      </c>
      <c r="C231" t="s">
        <v>4144</v>
      </c>
      <c r="D231" t="s">
        <v>170</v>
      </c>
      <c r="E231" t="s">
        <v>4</v>
      </c>
      <c r="F231">
        <f>4259/70</f>
        <v>60.842857142857142</v>
      </c>
      <c r="G231" t="s">
        <v>5</v>
      </c>
    </row>
    <row r="233" spans="1:7" x14ac:dyDescent="0.35">
      <c r="A233" t="s">
        <v>4159</v>
      </c>
      <c r="B233" t="s">
        <v>1227</v>
      </c>
      <c r="C233" t="s">
        <v>1111</v>
      </c>
      <c r="D233" t="s">
        <v>387</v>
      </c>
      <c r="E233" t="s">
        <v>4</v>
      </c>
      <c r="F233">
        <f>197/7</f>
        <v>28.142857142857142</v>
      </c>
      <c r="G233" t="s">
        <v>5</v>
      </c>
    </row>
    <row r="235" spans="1:7" x14ac:dyDescent="0.35">
      <c r="A235" t="s">
        <v>4200</v>
      </c>
      <c r="B235" t="s">
        <v>17</v>
      </c>
      <c r="C235" t="s">
        <v>4201</v>
      </c>
      <c r="D235" t="s">
        <v>1765</v>
      </c>
      <c r="E235" t="s">
        <v>4</v>
      </c>
      <c r="F235">
        <f>131/10.2</f>
        <v>12.843137254901961</v>
      </c>
      <c r="G235" t="s">
        <v>10</v>
      </c>
    </row>
    <row r="237" spans="1:7" x14ac:dyDescent="0.35">
      <c r="A237" t="s">
        <v>4225</v>
      </c>
      <c r="B237" t="s">
        <v>1022</v>
      </c>
      <c r="C237" t="s">
        <v>4226</v>
      </c>
      <c r="D237" t="s">
        <v>35</v>
      </c>
      <c r="E237" t="s">
        <v>4</v>
      </c>
      <c r="F237">
        <f>293/6</f>
        <v>48.833333333333336</v>
      </c>
      <c r="G237" t="s">
        <v>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C089E-3961-4996-951E-8A822D1E05E2}">
  <dimension ref="A1:G43"/>
  <sheetViews>
    <sheetView topLeftCell="A16" workbookViewId="0">
      <selection activeCell="A45" sqref="A45"/>
    </sheetView>
  </sheetViews>
  <sheetFormatPr defaultRowHeight="14.5" x14ac:dyDescent="0.35"/>
  <sheetData>
    <row r="1" spans="1:7" x14ac:dyDescent="0.35">
      <c r="A1" t="s">
        <v>52</v>
      </c>
      <c r="B1" t="s">
        <v>53</v>
      </c>
      <c r="C1" t="s">
        <v>54</v>
      </c>
      <c r="D1" t="s">
        <v>55</v>
      </c>
      <c r="E1" t="s">
        <v>4</v>
      </c>
      <c r="F1">
        <f>41/3.1</f>
        <v>13.225806451612902</v>
      </c>
      <c r="G1" t="s">
        <v>10</v>
      </c>
    </row>
    <row r="3" spans="1:7" x14ac:dyDescent="0.35">
      <c r="A3" t="s">
        <v>189</v>
      </c>
      <c r="B3" t="s">
        <v>190</v>
      </c>
      <c r="C3" t="s">
        <v>191</v>
      </c>
      <c r="D3" t="s">
        <v>192</v>
      </c>
      <c r="E3" t="s">
        <v>4</v>
      </c>
      <c r="F3">
        <f>159/11</f>
        <v>14.454545454545455</v>
      </c>
      <c r="G3" t="s">
        <v>10</v>
      </c>
    </row>
    <row r="5" spans="1:7" x14ac:dyDescent="0.35">
      <c r="A5" s="2" t="s">
        <v>594</v>
      </c>
      <c r="B5" s="2" t="s">
        <v>69</v>
      </c>
      <c r="C5" s="2" t="s">
        <v>595</v>
      </c>
      <c r="D5" s="2" t="s">
        <v>596</v>
      </c>
      <c r="E5" s="2" t="s">
        <v>4</v>
      </c>
      <c r="F5" s="2">
        <f>3334/55</f>
        <v>60.618181818181817</v>
      </c>
      <c r="G5" s="2" t="s">
        <v>597</v>
      </c>
    </row>
    <row r="7" spans="1:7" x14ac:dyDescent="0.35">
      <c r="A7" t="s">
        <v>1934</v>
      </c>
      <c r="B7" t="s">
        <v>285</v>
      </c>
      <c r="C7" t="s">
        <v>1935</v>
      </c>
      <c r="D7" t="s">
        <v>309</v>
      </c>
      <c r="E7" t="s">
        <v>4</v>
      </c>
      <c r="F7">
        <f>235/17</f>
        <v>13.823529411764707</v>
      </c>
      <c r="G7" t="s">
        <v>10</v>
      </c>
    </row>
    <row r="9" spans="1:7" x14ac:dyDescent="0.35">
      <c r="A9" t="s">
        <v>2350</v>
      </c>
      <c r="B9" t="s">
        <v>2351</v>
      </c>
      <c r="C9" t="s">
        <v>1020</v>
      </c>
      <c r="D9" t="s">
        <v>75</v>
      </c>
      <c r="E9" t="s">
        <v>4</v>
      </c>
      <c r="F9">
        <f>197/15.5</f>
        <v>12.709677419354838</v>
      </c>
      <c r="G9" t="s">
        <v>10</v>
      </c>
    </row>
    <row r="11" spans="1:7" x14ac:dyDescent="0.35">
      <c r="A11" t="s">
        <v>2406</v>
      </c>
      <c r="B11" t="s">
        <v>296</v>
      </c>
      <c r="C11" t="s">
        <v>2407</v>
      </c>
      <c r="D11" t="s">
        <v>86</v>
      </c>
      <c r="E11" t="s">
        <v>4</v>
      </c>
      <c r="F11">
        <f>445/22</f>
        <v>20.227272727272727</v>
      </c>
      <c r="G11" t="s">
        <v>10</v>
      </c>
    </row>
    <row r="13" spans="1:7" x14ac:dyDescent="0.35">
      <c r="A13" t="s">
        <v>2426</v>
      </c>
      <c r="B13" t="s">
        <v>29</v>
      </c>
      <c r="C13" t="s">
        <v>30</v>
      </c>
    </row>
    <row r="15" spans="1:7" x14ac:dyDescent="0.35">
      <c r="A15" t="s">
        <v>1934</v>
      </c>
      <c r="B15" t="s">
        <v>2498</v>
      </c>
      <c r="C15" t="s">
        <v>2567</v>
      </c>
      <c r="D15" t="s">
        <v>1002</v>
      </c>
      <c r="E15" t="s">
        <v>4</v>
      </c>
      <c r="F15">
        <f>250/7.5</f>
        <v>33.333333333333336</v>
      </c>
      <c r="G15" t="s">
        <v>5</v>
      </c>
    </row>
    <row r="17" spans="1:7" x14ac:dyDescent="0.35">
      <c r="A17" t="s">
        <v>2655</v>
      </c>
      <c r="B17" t="s">
        <v>2656</v>
      </c>
      <c r="C17" t="s">
        <v>1107</v>
      </c>
      <c r="D17" t="s">
        <v>1002</v>
      </c>
      <c r="E17" t="s">
        <v>4</v>
      </c>
      <c r="F17">
        <f>685/7.5</f>
        <v>91.333333333333329</v>
      </c>
      <c r="G17" t="s">
        <v>5</v>
      </c>
    </row>
    <row r="19" spans="1:7" x14ac:dyDescent="0.35">
      <c r="A19" t="s">
        <v>2802</v>
      </c>
      <c r="B19" t="s">
        <v>2484</v>
      </c>
      <c r="C19" t="s">
        <v>477</v>
      </c>
      <c r="D19" t="s">
        <v>170</v>
      </c>
      <c r="E19" t="s">
        <v>4</v>
      </c>
      <c r="F19">
        <f>1465/70</f>
        <v>20.928571428571427</v>
      </c>
      <c r="G19" t="s">
        <v>10</v>
      </c>
    </row>
    <row r="21" spans="1:7" x14ac:dyDescent="0.35">
      <c r="A21" t="s">
        <v>3109</v>
      </c>
      <c r="B21" t="s">
        <v>1507</v>
      </c>
      <c r="C21" t="s">
        <v>207</v>
      </c>
      <c r="D21" t="s">
        <v>35</v>
      </c>
      <c r="E21" t="s">
        <v>4</v>
      </c>
      <c r="F21">
        <f>244/6</f>
        <v>40.666666666666664</v>
      </c>
      <c r="G21" t="s">
        <v>10</v>
      </c>
    </row>
    <row r="23" spans="1:7" x14ac:dyDescent="0.35">
      <c r="A23" t="s">
        <v>3181</v>
      </c>
      <c r="B23" t="s">
        <v>3045</v>
      </c>
      <c r="C23" t="s">
        <v>3182</v>
      </c>
      <c r="D23" t="s">
        <v>942</v>
      </c>
      <c r="E23" t="s">
        <v>4</v>
      </c>
      <c r="F23">
        <f>300/19</f>
        <v>15.789473684210526</v>
      </c>
      <c r="G23" t="s">
        <v>10</v>
      </c>
    </row>
    <row r="25" spans="1:7" x14ac:dyDescent="0.35">
      <c r="A25" t="s">
        <v>3221</v>
      </c>
      <c r="B25" t="s">
        <v>2640</v>
      </c>
      <c r="C25" t="s">
        <v>3222</v>
      </c>
      <c r="D25" t="s">
        <v>309</v>
      </c>
      <c r="E25" t="s">
        <v>4</v>
      </c>
      <c r="F25">
        <f>102/17</f>
        <v>6</v>
      </c>
      <c r="G25" t="s">
        <v>10</v>
      </c>
    </row>
    <row r="27" spans="1:7" x14ac:dyDescent="0.35">
      <c r="A27" t="s">
        <v>3509</v>
      </c>
      <c r="B27" t="s">
        <v>3510</v>
      </c>
      <c r="C27" t="s">
        <v>3105</v>
      </c>
      <c r="D27" t="s">
        <v>309</v>
      </c>
      <c r="E27" t="s">
        <v>4</v>
      </c>
      <c r="F27">
        <f>119/17</f>
        <v>7</v>
      </c>
      <c r="G27" t="s">
        <v>10</v>
      </c>
    </row>
    <row r="29" spans="1:7" x14ac:dyDescent="0.35">
      <c r="A29" t="s">
        <v>3580</v>
      </c>
      <c r="B29" t="s">
        <v>3581</v>
      </c>
      <c r="C29" t="s">
        <v>3582</v>
      </c>
      <c r="D29" t="s">
        <v>819</v>
      </c>
      <c r="E29" t="s">
        <v>4</v>
      </c>
      <c r="F29">
        <f>449/29</f>
        <v>15.482758620689655</v>
      </c>
      <c r="G29" t="s">
        <v>10</v>
      </c>
    </row>
    <row r="31" spans="1:7" x14ac:dyDescent="0.35">
      <c r="A31" t="s">
        <v>3722</v>
      </c>
      <c r="B31" t="s">
        <v>29</v>
      </c>
    </row>
    <row r="33" spans="1:7" x14ac:dyDescent="0.35">
      <c r="A33" t="s">
        <v>3889</v>
      </c>
      <c r="B33" t="s">
        <v>3888</v>
      </c>
      <c r="C33" t="s">
        <v>82</v>
      </c>
      <c r="D33" t="s">
        <v>79</v>
      </c>
      <c r="E33" t="s">
        <v>4</v>
      </c>
      <c r="F33">
        <f>198/10</f>
        <v>19.8</v>
      </c>
      <c r="G33" t="s">
        <v>10</v>
      </c>
    </row>
    <row r="35" spans="1:7" x14ac:dyDescent="0.35">
      <c r="A35" t="s">
        <v>3968</v>
      </c>
      <c r="B35" t="s">
        <v>761</v>
      </c>
      <c r="C35" t="s">
        <v>3969</v>
      </c>
      <c r="D35" t="s">
        <v>188</v>
      </c>
      <c r="E35" t="s">
        <v>4</v>
      </c>
      <c r="F35">
        <f>93/3.5</f>
        <v>26.571428571428573</v>
      </c>
      <c r="G35" t="s">
        <v>5</v>
      </c>
    </row>
    <row r="37" spans="1:7" x14ac:dyDescent="0.35">
      <c r="A37" t="s">
        <v>3984</v>
      </c>
      <c r="B37" t="s">
        <v>3253</v>
      </c>
      <c r="C37" t="s">
        <v>1379</v>
      </c>
      <c r="D37" t="s">
        <v>178</v>
      </c>
      <c r="E37" t="s">
        <v>4</v>
      </c>
      <c r="F37">
        <f>477/15</f>
        <v>31.8</v>
      </c>
      <c r="G37" t="s">
        <v>5</v>
      </c>
    </row>
    <row r="39" spans="1:7" x14ac:dyDescent="0.35">
      <c r="A39" t="s">
        <v>4009</v>
      </c>
      <c r="B39" t="s">
        <v>4010</v>
      </c>
      <c r="C39" t="s">
        <v>1053</v>
      </c>
      <c r="D39" t="s">
        <v>265</v>
      </c>
      <c r="E39" t="s">
        <v>4</v>
      </c>
      <c r="F39">
        <f>400/45</f>
        <v>8.8888888888888893</v>
      </c>
      <c r="G39" t="s">
        <v>10</v>
      </c>
    </row>
    <row r="41" spans="1:7" x14ac:dyDescent="0.35">
      <c r="A41" t="s">
        <v>4057</v>
      </c>
      <c r="B41" t="s">
        <v>997</v>
      </c>
      <c r="C41" t="s">
        <v>1111</v>
      </c>
      <c r="D41" t="s">
        <v>1112</v>
      </c>
      <c r="E41" t="s">
        <v>4</v>
      </c>
      <c r="F41">
        <f>32/6.5</f>
        <v>4.9230769230769234</v>
      </c>
      <c r="G41" t="s">
        <v>10</v>
      </c>
    </row>
    <row r="43" spans="1:7" x14ac:dyDescent="0.35">
      <c r="A43" t="s">
        <v>4286</v>
      </c>
      <c r="B43" t="s">
        <v>944</v>
      </c>
      <c r="C43" t="s">
        <v>3389</v>
      </c>
      <c r="D43" t="s">
        <v>79</v>
      </c>
      <c r="E43" t="s">
        <v>4</v>
      </c>
      <c r="F43">
        <f>118/10</f>
        <v>11.8</v>
      </c>
      <c r="G43" t="s">
        <v>10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543C-E208-4DD4-95D9-42D14CC5F91B}">
  <dimension ref="A1:G33"/>
  <sheetViews>
    <sheetView topLeftCell="A6" workbookViewId="0">
      <selection activeCell="A35" sqref="A35"/>
    </sheetView>
  </sheetViews>
  <sheetFormatPr defaultRowHeight="14.5" x14ac:dyDescent="0.35"/>
  <sheetData>
    <row r="1" spans="1:7" x14ac:dyDescent="0.35">
      <c r="A1" t="s">
        <v>857</v>
      </c>
      <c r="B1" t="s">
        <v>838</v>
      </c>
      <c r="C1" t="s">
        <v>858</v>
      </c>
      <c r="D1" t="s">
        <v>859</v>
      </c>
      <c r="E1" t="s">
        <v>4</v>
      </c>
      <c r="F1">
        <f>34/0.45</f>
        <v>75.555555555555557</v>
      </c>
      <c r="G1" t="s">
        <v>5</v>
      </c>
    </row>
    <row r="3" spans="1:7" x14ac:dyDescent="0.35">
      <c r="A3" t="s">
        <v>1164</v>
      </c>
      <c r="B3" t="s">
        <v>1165</v>
      </c>
      <c r="C3" t="s">
        <v>1166</v>
      </c>
      <c r="D3" t="s">
        <v>1167</v>
      </c>
      <c r="E3" t="s">
        <v>4</v>
      </c>
      <c r="F3">
        <f>515/63</f>
        <v>8.174603174603174</v>
      </c>
      <c r="G3" t="s">
        <v>10</v>
      </c>
    </row>
    <row r="5" spans="1:7" x14ac:dyDescent="0.35">
      <c r="A5" t="s">
        <v>1329</v>
      </c>
      <c r="B5" t="s">
        <v>29</v>
      </c>
      <c r="C5" t="s">
        <v>225</v>
      </c>
      <c r="D5" t="s">
        <v>89</v>
      </c>
      <c r="E5" t="s">
        <v>4</v>
      </c>
      <c r="F5">
        <f>264/4</f>
        <v>66</v>
      </c>
      <c r="G5" t="s">
        <v>5</v>
      </c>
    </row>
    <row r="7" spans="1:7" x14ac:dyDescent="0.35">
      <c r="A7" t="s">
        <v>1565</v>
      </c>
      <c r="B7" t="s">
        <v>1324</v>
      </c>
      <c r="C7" t="s">
        <v>1566</v>
      </c>
      <c r="D7" t="s">
        <v>9</v>
      </c>
      <c r="E7" t="s">
        <v>4</v>
      </c>
      <c r="F7">
        <f>730/65</f>
        <v>11.23076923076923</v>
      </c>
      <c r="G7" t="s">
        <v>10</v>
      </c>
    </row>
    <row r="9" spans="1:7" x14ac:dyDescent="0.35">
      <c r="A9" t="s">
        <v>1647</v>
      </c>
      <c r="B9" t="s">
        <v>1445</v>
      </c>
      <c r="C9" t="s">
        <v>1520</v>
      </c>
      <c r="D9" t="s">
        <v>1648</v>
      </c>
      <c r="E9" t="s">
        <v>4</v>
      </c>
      <c r="F9">
        <f>130/7.77</f>
        <v>16.731016731016734</v>
      </c>
      <c r="G9" t="s">
        <v>10</v>
      </c>
    </row>
    <row r="11" spans="1:7" x14ac:dyDescent="0.35">
      <c r="A11" t="s">
        <v>1791</v>
      </c>
      <c r="B11" t="s">
        <v>1532</v>
      </c>
      <c r="C11" t="s">
        <v>1792</v>
      </c>
      <c r="D11" t="s">
        <v>1793</v>
      </c>
      <c r="E11" t="s">
        <v>4</v>
      </c>
      <c r="F11">
        <f>176/7.3</f>
        <v>24.109589041095891</v>
      </c>
      <c r="G11" t="s">
        <v>10</v>
      </c>
    </row>
    <row r="13" spans="1:7" x14ac:dyDescent="0.35">
      <c r="A13" t="s">
        <v>1954</v>
      </c>
      <c r="B13" t="s">
        <v>1529</v>
      </c>
      <c r="C13" t="s">
        <v>1955</v>
      </c>
      <c r="D13" t="s">
        <v>1454</v>
      </c>
      <c r="E13" t="s">
        <v>4</v>
      </c>
      <c r="F13">
        <f>159/11.5</f>
        <v>13.826086956521738</v>
      </c>
      <c r="G13" t="s">
        <v>10</v>
      </c>
    </row>
    <row r="15" spans="1:7" x14ac:dyDescent="0.35">
      <c r="A15" t="s">
        <v>2628</v>
      </c>
      <c r="B15" t="s">
        <v>1836</v>
      </c>
      <c r="C15" t="s">
        <v>88</v>
      </c>
      <c r="D15" t="s">
        <v>2191</v>
      </c>
      <c r="E15" t="s">
        <v>4</v>
      </c>
      <c r="F15">
        <f>81/3.7</f>
        <v>21.891891891891891</v>
      </c>
      <c r="G15" t="s">
        <v>5</v>
      </c>
    </row>
    <row r="17" spans="1:7" x14ac:dyDescent="0.35">
      <c r="A17" t="s">
        <v>2639</v>
      </c>
      <c r="B17" t="s">
        <v>2640</v>
      </c>
      <c r="C17" t="s">
        <v>2641</v>
      </c>
      <c r="D17" t="s">
        <v>23</v>
      </c>
      <c r="E17" t="s">
        <v>4</v>
      </c>
      <c r="F17">
        <f>414/21</f>
        <v>19.714285714285715</v>
      </c>
      <c r="G17" t="s">
        <v>5</v>
      </c>
    </row>
    <row r="19" spans="1:7" x14ac:dyDescent="0.35">
      <c r="A19" t="s">
        <v>2736</v>
      </c>
      <c r="B19" t="s">
        <v>2737</v>
      </c>
      <c r="C19" t="s">
        <v>2285</v>
      </c>
      <c r="D19" t="s">
        <v>536</v>
      </c>
      <c r="E19" t="s">
        <v>4</v>
      </c>
      <c r="F19">
        <f>1194/50</f>
        <v>23.88</v>
      </c>
      <c r="G19" t="s">
        <v>10</v>
      </c>
    </row>
    <row r="21" spans="1:7" x14ac:dyDescent="0.35">
      <c r="A21" t="s">
        <v>2764</v>
      </c>
      <c r="B21" t="s">
        <v>296</v>
      </c>
      <c r="C21" t="s">
        <v>1886</v>
      </c>
      <c r="D21" t="s">
        <v>309</v>
      </c>
      <c r="E21" t="s">
        <v>4</v>
      </c>
      <c r="F21">
        <f>1492/17</f>
        <v>87.764705882352942</v>
      </c>
      <c r="G21" t="s">
        <v>5</v>
      </c>
    </row>
    <row r="23" spans="1:7" x14ac:dyDescent="0.35">
      <c r="A23" t="s">
        <v>3235</v>
      </c>
      <c r="B23" t="s">
        <v>29</v>
      </c>
      <c r="C23" t="s">
        <v>3236</v>
      </c>
      <c r="D23" t="s">
        <v>3237</v>
      </c>
      <c r="E23" t="s">
        <v>4</v>
      </c>
      <c r="F23">
        <f>262/3.9</f>
        <v>67.179487179487182</v>
      </c>
      <c r="G23" t="s">
        <v>5</v>
      </c>
    </row>
    <row r="25" spans="1:7" x14ac:dyDescent="0.35">
      <c r="A25" t="s">
        <v>3314</v>
      </c>
      <c r="B25" t="s">
        <v>866</v>
      </c>
      <c r="C25" t="s">
        <v>1086</v>
      </c>
      <c r="D25" t="s">
        <v>3315</v>
      </c>
      <c r="E25" t="s">
        <v>4</v>
      </c>
      <c r="F25">
        <f>49/6.15</f>
        <v>7.9674796747967473</v>
      </c>
      <c r="G25" t="s">
        <v>10</v>
      </c>
    </row>
    <row r="27" spans="1:7" x14ac:dyDescent="0.35">
      <c r="A27" t="s">
        <v>3356</v>
      </c>
      <c r="B27" t="s">
        <v>3357</v>
      </c>
      <c r="C27" t="s">
        <v>3358</v>
      </c>
      <c r="D27" t="s">
        <v>9</v>
      </c>
      <c r="E27" t="s">
        <v>4</v>
      </c>
      <c r="F27">
        <f>853/65</f>
        <v>13.123076923076923</v>
      </c>
      <c r="G27" t="s">
        <v>10</v>
      </c>
    </row>
    <row r="29" spans="1:7" x14ac:dyDescent="0.35">
      <c r="A29" t="s">
        <v>3775</v>
      </c>
      <c r="B29" t="s">
        <v>3776</v>
      </c>
      <c r="C29" t="s">
        <v>3777</v>
      </c>
      <c r="D29" t="s">
        <v>827</v>
      </c>
      <c r="E29" t="s">
        <v>4</v>
      </c>
      <c r="F29">
        <f>400/33</f>
        <v>12.121212121212121</v>
      </c>
      <c r="G29" t="s">
        <v>10</v>
      </c>
    </row>
    <row r="31" spans="1:7" x14ac:dyDescent="0.35">
      <c r="A31" t="s">
        <v>3982</v>
      </c>
      <c r="B31" t="s">
        <v>274</v>
      </c>
      <c r="C31" t="s">
        <v>3983</v>
      </c>
      <c r="D31" t="s">
        <v>309</v>
      </c>
      <c r="E31" t="s">
        <v>4</v>
      </c>
      <c r="F31">
        <f>258/17</f>
        <v>15.176470588235293</v>
      </c>
      <c r="G31" t="s">
        <v>5</v>
      </c>
    </row>
    <row r="33" spans="1:7" x14ac:dyDescent="0.35">
      <c r="A33" t="s">
        <v>4108</v>
      </c>
      <c r="B33" t="s">
        <v>665</v>
      </c>
      <c r="C33" t="s">
        <v>4109</v>
      </c>
      <c r="D33" t="s">
        <v>1112</v>
      </c>
      <c r="E33" t="s">
        <v>4</v>
      </c>
      <c r="F33">
        <f>111/6.5</f>
        <v>17.076923076923077</v>
      </c>
      <c r="G33" t="s">
        <v>10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FC069-B079-4075-8AEB-99AFC605E015}">
  <dimension ref="A1:H119"/>
  <sheetViews>
    <sheetView topLeftCell="A92" workbookViewId="0">
      <selection activeCell="A121" sqref="A121"/>
    </sheetView>
  </sheetViews>
  <sheetFormatPr defaultRowHeight="14.5" x14ac:dyDescent="0.35"/>
  <sheetData>
    <row r="1" spans="1:7" x14ac:dyDescent="0.35">
      <c r="A1" s="2" t="s">
        <v>16</v>
      </c>
      <c r="B1" s="2" t="s">
        <v>17</v>
      </c>
      <c r="C1" s="2" t="s">
        <v>18</v>
      </c>
      <c r="D1" s="2" t="s">
        <v>19</v>
      </c>
      <c r="E1" s="2" t="s">
        <v>4</v>
      </c>
      <c r="F1" s="2">
        <f>275/9</f>
        <v>30.555555555555557</v>
      </c>
      <c r="G1" s="2" t="s">
        <v>5</v>
      </c>
    </row>
    <row r="2" spans="1:7" x14ac:dyDescent="0.35">
      <c r="A2" s="2"/>
      <c r="B2" s="2"/>
      <c r="C2" s="2"/>
      <c r="D2" s="2"/>
      <c r="E2" s="2"/>
      <c r="F2" s="2"/>
      <c r="G2" s="2"/>
    </row>
    <row r="3" spans="1:7" x14ac:dyDescent="0.35">
      <c r="A3" s="2" t="s">
        <v>428</v>
      </c>
      <c r="B3" s="2" t="s">
        <v>429</v>
      </c>
      <c r="C3" s="2" t="s">
        <v>430</v>
      </c>
      <c r="D3" s="2" t="s">
        <v>116</v>
      </c>
      <c r="E3" s="2" t="s">
        <v>4</v>
      </c>
      <c r="F3" s="2">
        <f>260/2.5</f>
        <v>104</v>
      </c>
      <c r="G3" s="2" t="s">
        <v>5</v>
      </c>
    </row>
    <row r="5" spans="1:7" x14ac:dyDescent="0.35">
      <c r="A5" t="s">
        <v>464</v>
      </c>
      <c r="B5" t="s">
        <v>465</v>
      </c>
      <c r="C5" t="s">
        <v>466</v>
      </c>
      <c r="D5" t="s">
        <v>467</v>
      </c>
      <c r="E5" t="s">
        <v>4</v>
      </c>
      <c r="F5">
        <f>850/23</f>
        <v>36.956521739130437</v>
      </c>
      <c r="G5" t="s">
        <v>5</v>
      </c>
    </row>
    <row r="7" spans="1:7" x14ac:dyDescent="0.35">
      <c r="A7" t="s">
        <v>747</v>
      </c>
      <c r="B7" t="s">
        <v>748</v>
      </c>
      <c r="C7" t="s">
        <v>749</v>
      </c>
      <c r="D7" t="s">
        <v>750</v>
      </c>
      <c r="E7" t="s">
        <v>4</v>
      </c>
      <c r="F7">
        <f>925/25.5</f>
        <v>36.274509803921568</v>
      </c>
      <c r="G7" t="s">
        <v>5</v>
      </c>
    </row>
    <row r="9" spans="1:7" x14ac:dyDescent="0.35">
      <c r="A9" t="s">
        <v>837</v>
      </c>
      <c r="B9" t="s">
        <v>838</v>
      </c>
      <c r="C9" t="s">
        <v>839</v>
      </c>
      <c r="D9" t="s">
        <v>840</v>
      </c>
      <c r="E9" t="s">
        <v>4</v>
      </c>
      <c r="F9">
        <f>9/0.5</f>
        <v>18</v>
      </c>
      <c r="G9" t="s">
        <v>10</v>
      </c>
    </row>
    <row r="11" spans="1:7" x14ac:dyDescent="0.35">
      <c r="A11" t="s">
        <v>842</v>
      </c>
      <c r="B11" t="s">
        <v>843</v>
      </c>
      <c r="C11" t="s">
        <v>844</v>
      </c>
      <c r="D11" t="s">
        <v>59</v>
      </c>
      <c r="E11" t="s">
        <v>4</v>
      </c>
      <c r="F11">
        <f>478/13</f>
        <v>36.769230769230766</v>
      </c>
      <c r="G11" t="s">
        <v>5</v>
      </c>
    </row>
    <row r="13" spans="1:7" x14ac:dyDescent="0.35">
      <c r="A13" t="s">
        <v>999</v>
      </c>
      <c r="B13" t="s">
        <v>1000</v>
      </c>
      <c r="C13" t="s">
        <v>1001</v>
      </c>
      <c r="D13" t="s">
        <v>1002</v>
      </c>
      <c r="E13" t="s">
        <v>4</v>
      </c>
      <c r="F13">
        <f>535/7.5</f>
        <v>71.333333333333329</v>
      </c>
      <c r="G13" t="s">
        <v>5</v>
      </c>
    </row>
    <row r="15" spans="1:7" x14ac:dyDescent="0.35">
      <c r="A15" t="s">
        <v>1311</v>
      </c>
      <c r="B15" t="s">
        <v>1312</v>
      </c>
      <c r="C15" t="s">
        <v>1313</v>
      </c>
      <c r="D15" t="s">
        <v>834</v>
      </c>
      <c r="E15" t="s">
        <v>4</v>
      </c>
      <c r="F15">
        <f>3030/47</f>
        <v>64.468085106382972</v>
      </c>
      <c r="G15" t="s">
        <v>5</v>
      </c>
    </row>
    <row r="17" spans="1:7" x14ac:dyDescent="0.35">
      <c r="A17" t="s">
        <v>1350</v>
      </c>
      <c r="B17" t="s">
        <v>1351</v>
      </c>
      <c r="C17" t="s">
        <v>1352</v>
      </c>
      <c r="D17" t="s">
        <v>35</v>
      </c>
      <c r="E17" t="s">
        <v>4</v>
      </c>
      <c r="F17">
        <f>130/6</f>
        <v>21.666666666666668</v>
      </c>
      <c r="G17" t="s">
        <v>5</v>
      </c>
    </row>
    <row r="19" spans="1:7" x14ac:dyDescent="0.35">
      <c r="A19" t="s">
        <v>1383</v>
      </c>
      <c r="B19" t="s">
        <v>1384</v>
      </c>
      <c r="C19" t="s">
        <v>1385</v>
      </c>
      <c r="D19" t="s">
        <v>219</v>
      </c>
      <c r="E19" t="s">
        <v>4</v>
      </c>
      <c r="F19">
        <f>127/5.5</f>
        <v>23.09090909090909</v>
      </c>
      <c r="G19" t="s">
        <v>5</v>
      </c>
    </row>
    <row r="21" spans="1:7" x14ac:dyDescent="0.35">
      <c r="A21" t="s">
        <v>1425</v>
      </c>
      <c r="B21" t="s">
        <v>1426</v>
      </c>
      <c r="C21" t="s">
        <v>121</v>
      </c>
      <c r="D21" t="s">
        <v>178</v>
      </c>
      <c r="E21" t="s">
        <v>4</v>
      </c>
      <c r="F21">
        <f>676/15</f>
        <v>45.06666666666667</v>
      </c>
      <c r="G21" t="s">
        <v>5</v>
      </c>
    </row>
    <row r="23" spans="1:7" x14ac:dyDescent="0.35">
      <c r="A23" t="s">
        <v>1427</v>
      </c>
      <c r="B23" t="s">
        <v>1428</v>
      </c>
      <c r="C23" t="s">
        <v>137</v>
      </c>
      <c r="D23" t="s">
        <v>9</v>
      </c>
      <c r="E23" t="s">
        <v>4</v>
      </c>
      <c r="F23">
        <f>375/65</f>
        <v>5.7692307692307692</v>
      </c>
      <c r="G23" t="s">
        <v>10</v>
      </c>
    </row>
    <row r="25" spans="1:7" x14ac:dyDescent="0.35">
      <c r="A25" s="1" t="s">
        <v>1661</v>
      </c>
      <c r="B25" s="1" t="s">
        <v>1662</v>
      </c>
      <c r="C25" s="1" t="s">
        <v>1663</v>
      </c>
      <c r="D25" s="1" t="s">
        <v>750</v>
      </c>
      <c r="E25" s="1" t="s">
        <v>4</v>
      </c>
      <c r="F25" s="1">
        <f>667/25.5</f>
        <v>26.156862745098039</v>
      </c>
      <c r="G25" s="1" t="s">
        <v>5</v>
      </c>
    </row>
    <row r="27" spans="1:7" x14ac:dyDescent="0.35">
      <c r="A27" t="s">
        <v>1680</v>
      </c>
      <c r="B27" t="s">
        <v>1681</v>
      </c>
      <c r="C27" t="s">
        <v>753</v>
      </c>
      <c r="D27" t="s">
        <v>876</v>
      </c>
      <c r="E27" t="s">
        <v>4</v>
      </c>
      <c r="F27">
        <f>356/22.5</f>
        <v>15.822222222222223</v>
      </c>
      <c r="G27" t="s">
        <v>10</v>
      </c>
    </row>
    <row r="29" spans="1:7" x14ac:dyDescent="0.35">
      <c r="A29" t="s">
        <v>1696</v>
      </c>
      <c r="B29" t="s">
        <v>278</v>
      </c>
      <c r="C29" t="s">
        <v>1697</v>
      </c>
      <c r="D29" t="s">
        <v>1698</v>
      </c>
      <c r="E29" t="s">
        <v>4</v>
      </c>
      <c r="F29">
        <f>256/16.7</f>
        <v>15.32934131736527</v>
      </c>
      <c r="G29" t="s">
        <v>10</v>
      </c>
    </row>
    <row r="31" spans="1:7" x14ac:dyDescent="0.35">
      <c r="A31" t="s">
        <v>1708</v>
      </c>
      <c r="B31" t="s">
        <v>1092</v>
      </c>
      <c r="C31" t="s">
        <v>1709</v>
      </c>
      <c r="D31" t="s">
        <v>859</v>
      </c>
      <c r="E31" t="s">
        <v>4</v>
      </c>
      <c r="F31">
        <f>28/0.45</f>
        <v>62.222222222222221</v>
      </c>
      <c r="G31" t="s">
        <v>5</v>
      </c>
    </row>
    <row r="33" spans="1:7" x14ac:dyDescent="0.35">
      <c r="A33" s="1" t="s">
        <v>1769</v>
      </c>
      <c r="B33" s="1" t="s">
        <v>687</v>
      </c>
      <c r="C33" s="1" t="s">
        <v>953</v>
      </c>
      <c r="D33" s="1" t="s">
        <v>215</v>
      </c>
      <c r="E33" s="1" t="s">
        <v>4</v>
      </c>
      <c r="F33" s="1">
        <f>3376/152</f>
        <v>22.210526315789473</v>
      </c>
      <c r="G33" s="1" t="s">
        <v>10</v>
      </c>
    </row>
    <row r="35" spans="1:7" x14ac:dyDescent="0.35">
      <c r="A35" t="s">
        <v>1981</v>
      </c>
      <c r="B35" t="s">
        <v>1165</v>
      </c>
      <c r="C35" t="s">
        <v>1982</v>
      </c>
      <c r="D35" t="s">
        <v>1983</v>
      </c>
      <c r="E35" t="s">
        <v>4</v>
      </c>
      <c r="F35">
        <f>2830/61</f>
        <v>46.393442622950822</v>
      </c>
      <c r="G35" t="s">
        <v>5</v>
      </c>
    </row>
    <row r="37" spans="1:7" x14ac:dyDescent="0.35">
      <c r="A37" t="s">
        <v>2273</v>
      </c>
      <c r="B37" t="s">
        <v>2274</v>
      </c>
      <c r="C37" t="s">
        <v>2275</v>
      </c>
      <c r="D37" t="s">
        <v>269</v>
      </c>
      <c r="E37" t="s">
        <v>4</v>
      </c>
      <c r="F37">
        <f>78/3</f>
        <v>26</v>
      </c>
      <c r="G37" t="s">
        <v>5</v>
      </c>
    </row>
    <row r="39" spans="1:7" x14ac:dyDescent="0.35">
      <c r="A39" t="s">
        <v>2276</v>
      </c>
      <c r="B39" t="s">
        <v>843</v>
      </c>
      <c r="C39" t="s">
        <v>2277</v>
      </c>
      <c r="D39" t="s">
        <v>287</v>
      </c>
      <c r="E39" t="s">
        <v>4</v>
      </c>
      <c r="F39">
        <f>372/12.5</f>
        <v>29.76</v>
      </c>
      <c r="G39" t="s">
        <v>5</v>
      </c>
    </row>
    <row r="41" spans="1:7" x14ac:dyDescent="0.35">
      <c r="A41" s="1" t="s">
        <v>2288</v>
      </c>
      <c r="B41" s="1" t="s">
        <v>2289</v>
      </c>
      <c r="C41" s="1" t="s">
        <v>2290</v>
      </c>
      <c r="D41" s="1" t="s">
        <v>39</v>
      </c>
      <c r="E41" s="1" t="s">
        <v>4</v>
      </c>
      <c r="F41" s="1">
        <f>1126/49</f>
        <v>22.979591836734695</v>
      </c>
      <c r="G41" s="1" t="s">
        <v>10</v>
      </c>
    </row>
    <row r="43" spans="1:7" x14ac:dyDescent="0.35">
      <c r="A43" t="s">
        <v>2293</v>
      </c>
      <c r="B43" t="s">
        <v>2294</v>
      </c>
      <c r="C43" t="s">
        <v>1190</v>
      </c>
      <c r="D43" t="s">
        <v>2295</v>
      </c>
      <c r="E43" t="s">
        <v>4</v>
      </c>
      <c r="F43">
        <f>16/0.8</f>
        <v>20</v>
      </c>
      <c r="G43" t="s">
        <v>10</v>
      </c>
    </row>
    <row r="45" spans="1:7" x14ac:dyDescent="0.35">
      <c r="A45" t="s">
        <v>2301</v>
      </c>
      <c r="B45" t="s">
        <v>2302</v>
      </c>
      <c r="C45" t="s">
        <v>2303</v>
      </c>
      <c r="D45" t="s">
        <v>130</v>
      </c>
      <c r="E45" t="s">
        <v>4</v>
      </c>
      <c r="F45">
        <f>1500/100</f>
        <v>15</v>
      </c>
      <c r="G45" t="s">
        <v>10</v>
      </c>
    </row>
    <row r="47" spans="1:7" x14ac:dyDescent="0.35">
      <c r="A47" t="s">
        <v>2310</v>
      </c>
      <c r="B47" t="s">
        <v>2311</v>
      </c>
      <c r="C47" t="s">
        <v>2312</v>
      </c>
      <c r="D47" t="s">
        <v>681</v>
      </c>
      <c r="E47" t="s">
        <v>4</v>
      </c>
      <c r="F47">
        <f>4200/85</f>
        <v>49.411764705882355</v>
      </c>
      <c r="G47" t="s">
        <v>5</v>
      </c>
    </row>
    <row r="49" spans="1:8" x14ac:dyDescent="0.35">
      <c r="A49" t="s">
        <v>2356</v>
      </c>
      <c r="B49" t="s">
        <v>703</v>
      </c>
      <c r="C49" t="s">
        <v>2357</v>
      </c>
      <c r="D49" t="s">
        <v>122</v>
      </c>
      <c r="E49" t="s">
        <v>4</v>
      </c>
      <c r="F49">
        <f>767/16</f>
        <v>47.9375</v>
      </c>
      <c r="G49" t="s">
        <v>5</v>
      </c>
      <c r="H49" t="s">
        <v>2358</v>
      </c>
    </row>
    <row r="51" spans="1:8" x14ac:dyDescent="0.35">
      <c r="A51" t="s">
        <v>2385</v>
      </c>
      <c r="B51" t="s">
        <v>2386</v>
      </c>
      <c r="D51" t="s">
        <v>596</v>
      </c>
      <c r="E51" t="s">
        <v>4</v>
      </c>
      <c r="F51">
        <f>3175/55</f>
        <v>57.727272727272727</v>
      </c>
      <c r="G51" t="s">
        <v>5</v>
      </c>
    </row>
    <row r="53" spans="1:8" x14ac:dyDescent="0.35">
      <c r="A53" t="s">
        <v>2390</v>
      </c>
      <c r="B53" t="s">
        <v>2391</v>
      </c>
      <c r="C53" t="s">
        <v>2392</v>
      </c>
      <c r="D53" t="s">
        <v>192</v>
      </c>
      <c r="E53" t="s">
        <v>4</v>
      </c>
      <c r="F53">
        <f>154/11</f>
        <v>14</v>
      </c>
      <c r="G53" t="s">
        <v>5</v>
      </c>
    </row>
    <row r="55" spans="1:8" x14ac:dyDescent="0.35">
      <c r="A55" t="s">
        <v>2531</v>
      </c>
      <c r="B55" t="s">
        <v>29</v>
      </c>
      <c r="C55" t="s">
        <v>2532</v>
      </c>
      <c r="D55" t="s">
        <v>134</v>
      </c>
      <c r="E55" t="s">
        <v>4</v>
      </c>
      <c r="F55">
        <f>110/12</f>
        <v>9.1666666666666661</v>
      </c>
      <c r="G55" t="s">
        <v>10</v>
      </c>
    </row>
    <row r="57" spans="1:8" x14ac:dyDescent="0.35">
      <c r="A57" t="s">
        <v>2645</v>
      </c>
      <c r="B57" t="s">
        <v>2646</v>
      </c>
      <c r="C57" t="s">
        <v>2647</v>
      </c>
      <c r="D57" t="s">
        <v>2014</v>
      </c>
      <c r="E57" t="s">
        <v>4</v>
      </c>
      <c r="F57">
        <f>500/36</f>
        <v>13.888888888888889</v>
      </c>
      <c r="G57" t="s">
        <v>10</v>
      </c>
    </row>
    <row r="59" spans="1:8" x14ac:dyDescent="0.35">
      <c r="A59" t="s">
        <v>2661</v>
      </c>
      <c r="B59" t="s">
        <v>296</v>
      </c>
      <c r="C59" t="s">
        <v>330</v>
      </c>
      <c r="D59" t="s">
        <v>309</v>
      </c>
      <c r="E59" t="s">
        <v>4</v>
      </c>
      <c r="F59">
        <f>382/17</f>
        <v>22.470588235294116</v>
      </c>
      <c r="G59" t="s">
        <v>5</v>
      </c>
    </row>
    <row r="61" spans="1:8" x14ac:dyDescent="0.35">
      <c r="A61" t="s">
        <v>2705</v>
      </c>
      <c r="B61" t="s">
        <v>2706</v>
      </c>
      <c r="C61" t="s">
        <v>2707</v>
      </c>
      <c r="D61" t="s">
        <v>2708</v>
      </c>
      <c r="E61" t="s">
        <v>4</v>
      </c>
      <c r="F61">
        <f>8200/355</f>
        <v>23.098591549295776</v>
      </c>
      <c r="G61" t="s">
        <v>10</v>
      </c>
    </row>
    <row r="63" spans="1:8" x14ac:dyDescent="0.35">
      <c r="A63" t="s">
        <v>2709</v>
      </c>
      <c r="B63" t="s">
        <v>1480</v>
      </c>
      <c r="C63" t="s">
        <v>2710</v>
      </c>
      <c r="D63" t="s">
        <v>654</v>
      </c>
      <c r="E63" t="s">
        <v>4</v>
      </c>
      <c r="F63">
        <f>420/77</f>
        <v>5.4545454545454541</v>
      </c>
      <c r="G63" t="s">
        <v>10</v>
      </c>
    </row>
    <row r="65" spans="1:7" x14ac:dyDescent="0.35">
      <c r="A65" t="s">
        <v>2779</v>
      </c>
      <c r="B65" t="s">
        <v>29</v>
      </c>
      <c r="C65" t="s">
        <v>2780</v>
      </c>
      <c r="D65" t="s">
        <v>1191</v>
      </c>
      <c r="E65" t="s">
        <v>4</v>
      </c>
      <c r="F65">
        <f>170/1</f>
        <v>170</v>
      </c>
      <c r="G65" t="s">
        <v>5</v>
      </c>
    </row>
    <row r="67" spans="1:7" x14ac:dyDescent="0.35">
      <c r="A67" t="s">
        <v>2809</v>
      </c>
      <c r="B67" t="s">
        <v>2810</v>
      </c>
      <c r="C67" t="s">
        <v>2811</v>
      </c>
      <c r="D67" t="s">
        <v>2812</v>
      </c>
      <c r="E67" t="s">
        <v>4</v>
      </c>
      <c r="F67">
        <f>22400/200</f>
        <v>112</v>
      </c>
      <c r="G67" t="s">
        <v>5</v>
      </c>
    </row>
    <row r="69" spans="1:7" x14ac:dyDescent="0.35">
      <c r="A69" t="s">
        <v>2855</v>
      </c>
      <c r="B69" t="s">
        <v>2856</v>
      </c>
      <c r="C69" t="s">
        <v>2857</v>
      </c>
      <c r="D69" t="s">
        <v>502</v>
      </c>
      <c r="E69" t="s">
        <v>4</v>
      </c>
      <c r="F69">
        <f>2670/115</f>
        <v>23.217391304347824</v>
      </c>
      <c r="G69" t="s">
        <v>10</v>
      </c>
    </row>
    <row r="71" spans="1:7" x14ac:dyDescent="0.35">
      <c r="A71" t="s">
        <v>2940</v>
      </c>
      <c r="B71" t="s">
        <v>29</v>
      </c>
      <c r="C71" t="s">
        <v>2877</v>
      </c>
      <c r="D71" t="s">
        <v>258</v>
      </c>
      <c r="E71" t="s">
        <v>4</v>
      </c>
      <c r="F71">
        <f>400/5</f>
        <v>80</v>
      </c>
      <c r="G71" t="s">
        <v>5</v>
      </c>
    </row>
    <row r="73" spans="1:7" x14ac:dyDescent="0.35">
      <c r="A73" t="s">
        <v>2998</v>
      </c>
      <c r="B73" t="s">
        <v>2324</v>
      </c>
      <c r="C73" t="s">
        <v>1147</v>
      </c>
      <c r="E73" t="s">
        <v>4</v>
      </c>
      <c r="F73">
        <f>185/14</f>
        <v>13.214285714285714</v>
      </c>
      <c r="G73" t="s">
        <v>10</v>
      </c>
    </row>
    <row r="75" spans="1:7" x14ac:dyDescent="0.35">
      <c r="A75" t="s">
        <v>3021</v>
      </c>
      <c r="B75" t="s">
        <v>703</v>
      </c>
      <c r="C75" t="s">
        <v>3022</v>
      </c>
      <c r="D75" t="s">
        <v>86</v>
      </c>
      <c r="E75" t="s">
        <v>4</v>
      </c>
      <c r="F75">
        <f>268/22</f>
        <v>12.181818181818182</v>
      </c>
      <c r="G75" t="s">
        <v>10</v>
      </c>
    </row>
    <row r="77" spans="1:7" x14ac:dyDescent="0.35">
      <c r="A77" t="s">
        <v>3162</v>
      </c>
      <c r="B77" t="s">
        <v>2460</v>
      </c>
      <c r="C77" t="s">
        <v>1310</v>
      </c>
      <c r="D77" t="s">
        <v>498</v>
      </c>
      <c r="E77" t="s">
        <v>4</v>
      </c>
      <c r="F77">
        <f>300/8</f>
        <v>37.5</v>
      </c>
      <c r="G77" t="s">
        <v>5</v>
      </c>
    </row>
    <row r="79" spans="1:7" x14ac:dyDescent="0.35">
      <c r="A79" t="s">
        <v>3205</v>
      </c>
      <c r="B79" t="s">
        <v>1462</v>
      </c>
      <c r="C79" t="s">
        <v>3206</v>
      </c>
      <c r="D79" t="s">
        <v>3207</v>
      </c>
      <c r="E79" t="s">
        <v>4</v>
      </c>
      <c r="F79">
        <f>258/21.5</f>
        <v>12</v>
      </c>
      <c r="G79" t="s">
        <v>10</v>
      </c>
    </row>
    <row r="81" spans="1:8" x14ac:dyDescent="0.35">
      <c r="A81" t="s">
        <v>3267</v>
      </c>
      <c r="B81" t="s">
        <v>3268</v>
      </c>
      <c r="C81" t="s">
        <v>3269</v>
      </c>
      <c r="D81" t="s">
        <v>596</v>
      </c>
      <c r="E81" t="s">
        <v>4</v>
      </c>
      <c r="F81">
        <f>1480/55</f>
        <v>26.90909090909091</v>
      </c>
      <c r="G81" t="s">
        <v>10</v>
      </c>
    </row>
    <row r="83" spans="1:8" x14ac:dyDescent="0.35">
      <c r="A83" t="s">
        <v>3346</v>
      </c>
      <c r="B83" t="s">
        <v>3347</v>
      </c>
      <c r="C83" t="s">
        <v>2377</v>
      </c>
      <c r="D83" t="s">
        <v>505</v>
      </c>
      <c r="E83" t="s">
        <v>4</v>
      </c>
      <c r="F83">
        <f>2270/105</f>
        <v>21.61904761904762</v>
      </c>
      <c r="G83" t="s">
        <v>10</v>
      </c>
    </row>
    <row r="85" spans="1:8" x14ac:dyDescent="0.35">
      <c r="A85" t="s">
        <v>3348</v>
      </c>
      <c r="B85" t="s">
        <v>2109</v>
      </c>
      <c r="C85" t="s">
        <v>3349</v>
      </c>
      <c r="D85" t="s">
        <v>19</v>
      </c>
      <c r="E85" t="s">
        <v>4</v>
      </c>
      <c r="F85">
        <f>259/9</f>
        <v>28.777777777777779</v>
      </c>
      <c r="G85" t="s">
        <v>5</v>
      </c>
    </row>
    <row r="87" spans="1:8" x14ac:dyDescent="0.35">
      <c r="A87" t="s">
        <v>3407</v>
      </c>
      <c r="B87" t="s">
        <v>2560</v>
      </c>
      <c r="C87" t="s">
        <v>3408</v>
      </c>
      <c r="D87" t="s">
        <v>178</v>
      </c>
      <c r="E87" t="s">
        <v>4</v>
      </c>
      <c r="F87">
        <f>250/15</f>
        <v>16.666666666666668</v>
      </c>
      <c r="G87" t="s">
        <v>10</v>
      </c>
    </row>
    <row r="89" spans="1:8" x14ac:dyDescent="0.35">
      <c r="A89" t="s">
        <v>3430</v>
      </c>
      <c r="B89" t="s">
        <v>110</v>
      </c>
      <c r="C89" t="s">
        <v>1654</v>
      </c>
      <c r="D89" t="s">
        <v>269</v>
      </c>
      <c r="E89" t="s">
        <v>4</v>
      </c>
      <c r="F89">
        <f>97/3</f>
        <v>32.333333333333336</v>
      </c>
      <c r="G89" t="s">
        <v>5</v>
      </c>
    </row>
    <row r="91" spans="1:8" x14ac:dyDescent="0.35">
      <c r="A91" t="s">
        <v>3456</v>
      </c>
      <c r="B91" t="s">
        <v>1049</v>
      </c>
      <c r="C91" t="s">
        <v>3457</v>
      </c>
      <c r="D91" t="s">
        <v>536</v>
      </c>
      <c r="E91" t="s">
        <v>4</v>
      </c>
      <c r="F91">
        <f>1800/50</f>
        <v>36</v>
      </c>
      <c r="G91" t="s">
        <v>5</v>
      </c>
      <c r="H91" t="s">
        <v>3458</v>
      </c>
    </row>
    <row r="93" spans="1:8" x14ac:dyDescent="0.35">
      <c r="A93" t="s">
        <v>3461</v>
      </c>
      <c r="B93" t="s">
        <v>1278</v>
      </c>
      <c r="C93" t="s">
        <v>3462</v>
      </c>
      <c r="D93" t="s">
        <v>695</v>
      </c>
      <c r="E93" t="s">
        <v>4</v>
      </c>
      <c r="F93">
        <f>78/2</f>
        <v>39</v>
      </c>
      <c r="G93" t="s">
        <v>5</v>
      </c>
    </row>
    <row r="95" spans="1:8" x14ac:dyDescent="0.35">
      <c r="A95" t="s">
        <v>3490</v>
      </c>
      <c r="B95" t="s">
        <v>790</v>
      </c>
      <c r="C95" t="s">
        <v>2797</v>
      </c>
      <c r="D95" t="s">
        <v>815</v>
      </c>
      <c r="E95" t="s">
        <v>4</v>
      </c>
      <c r="F95">
        <f>668/32</f>
        <v>20.875</v>
      </c>
      <c r="G95" t="s">
        <v>10</v>
      </c>
    </row>
    <row r="97" spans="1:7" x14ac:dyDescent="0.35">
      <c r="A97" t="s">
        <v>3631</v>
      </c>
      <c r="B97" t="s">
        <v>3632</v>
      </c>
      <c r="C97" t="s">
        <v>806</v>
      </c>
      <c r="D97" t="s">
        <v>294</v>
      </c>
      <c r="E97" t="s">
        <v>4</v>
      </c>
      <c r="F97">
        <f>340/42</f>
        <v>8.0952380952380949</v>
      </c>
      <c r="G97" t="s">
        <v>10</v>
      </c>
    </row>
    <row r="99" spans="1:7" x14ac:dyDescent="0.35">
      <c r="A99" t="s">
        <v>3741</v>
      </c>
      <c r="B99" t="s">
        <v>1877</v>
      </c>
      <c r="C99" t="s">
        <v>3742</v>
      </c>
      <c r="D99" t="s">
        <v>498</v>
      </c>
      <c r="E99" t="s">
        <v>4</v>
      </c>
      <c r="F99">
        <f>127/8</f>
        <v>15.875</v>
      </c>
      <c r="G99" t="s">
        <v>10</v>
      </c>
    </row>
    <row r="101" spans="1:7" x14ac:dyDescent="0.35">
      <c r="A101" t="s">
        <v>3764</v>
      </c>
      <c r="B101" t="s">
        <v>296</v>
      </c>
      <c r="C101" t="s">
        <v>195</v>
      </c>
      <c r="D101" t="s">
        <v>178</v>
      </c>
      <c r="E101" t="s">
        <v>4</v>
      </c>
      <c r="F101">
        <f>800/15</f>
        <v>53.333333333333336</v>
      </c>
      <c r="G101" t="s">
        <v>597</v>
      </c>
    </row>
    <row r="103" spans="1:7" x14ac:dyDescent="0.35">
      <c r="A103" t="s">
        <v>3767</v>
      </c>
      <c r="B103" t="s">
        <v>65</v>
      </c>
      <c r="C103" t="s">
        <v>3768</v>
      </c>
      <c r="D103" t="s">
        <v>247</v>
      </c>
      <c r="E103" t="s">
        <v>4</v>
      </c>
      <c r="F103">
        <f>88/8.5</f>
        <v>10.352941176470589</v>
      </c>
      <c r="G103" t="s">
        <v>10</v>
      </c>
    </row>
    <row r="105" spans="1:7" x14ac:dyDescent="0.35">
      <c r="A105" t="s">
        <v>3778</v>
      </c>
      <c r="B105" t="s">
        <v>3779</v>
      </c>
      <c r="C105" t="s">
        <v>3780</v>
      </c>
      <c r="D105" t="s">
        <v>681</v>
      </c>
      <c r="E105" t="s">
        <v>4</v>
      </c>
      <c r="F105">
        <f>3540/85</f>
        <v>41.647058823529413</v>
      </c>
      <c r="G105" t="s">
        <v>5</v>
      </c>
    </row>
    <row r="107" spans="1:7" x14ac:dyDescent="0.35">
      <c r="A107" t="s">
        <v>4023</v>
      </c>
      <c r="B107" t="s">
        <v>2665</v>
      </c>
      <c r="C107" t="s">
        <v>1163</v>
      </c>
      <c r="D107" t="s">
        <v>467</v>
      </c>
      <c r="E107" t="s">
        <v>4</v>
      </c>
      <c r="F107">
        <f>170/23</f>
        <v>7.3913043478260869</v>
      </c>
      <c r="G107" t="s">
        <v>10</v>
      </c>
    </row>
    <row r="109" spans="1:7" x14ac:dyDescent="0.35">
      <c r="A109" t="s">
        <v>4058</v>
      </c>
      <c r="B109" t="s">
        <v>4059</v>
      </c>
      <c r="C109" t="s">
        <v>4060</v>
      </c>
      <c r="D109" t="s">
        <v>3100</v>
      </c>
      <c r="E109" t="s">
        <v>4</v>
      </c>
      <c r="F109">
        <f>2237/75</f>
        <v>29.826666666666668</v>
      </c>
      <c r="G109" t="s">
        <v>5</v>
      </c>
    </row>
    <row r="111" spans="1:7" x14ac:dyDescent="0.35">
      <c r="A111" t="s">
        <v>4076</v>
      </c>
      <c r="B111" t="s">
        <v>4077</v>
      </c>
      <c r="C111" t="s">
        <v>1053</v>
      </c>
      <c r="D111" t="s">
        <v>4</v>
      </c>
      <c r="E111" t="s">
        <v>4</v>
      </c>
      <c r="F111">
        <f>2787/35</f>
        <v>79.628571428571433</v>
      </c>
      <c r="G111" t="s">
        <v>5</v>
      </c>
    </row>
    <row r="113" spans="1:7" x14ac:dyDescent="0.35">
      <c r="A113" t="s">
        <v>4162</v>
      </c>
      <c r="B113" t="s">
        <v>4163</v>
      </c>
      <c r="C113" t="s">
        <v>4164</v>
      </c>
      <c r="D113" t="s">
        <v>573</v>
      </c>
      <c r="E113" t="s">
        <v>4</v>
      </c>
      <c r="F113">
        <f>1500/90</f>
        <v>16.666666666666668</v>
      </c>
      <c r="G113" t="s">
        <v>10</v>
      </c>
    </row>
    <row r="115" spans="1:7" x14ac:dyDescent="0.35">
      <c r="A115" t="s">
        <v>4171</v>
      </c>
      <c r="B115" t="s">
        <v>57</v>
      </c>
      <c r="C115" t="s">
        <v>3389</v>
      </c>
      <c r="D115" t="s">
        <v>59</v>
      </c>
      <c r="E115" t="s">
        <v>4</v>
      </c>
      <c r="F115">
        <f>104/13</f>
        <v>8</v>
      </c>
      <c r="G115" t="s">
        <v>10</v>
      </c>
    </row>
    <row r="117" spans="1:7" x14ac:dyDescent="0.35">
      <c r="A117" t="s">
        <v>4207</v>
      </c>
      <c r="B117" t="s">
        <v>227</v>
      </c>
      <c r="C117" t="s">
        <v>4208</v>
      </c>
      <c r="D117" t="s">
        <v>419</v>
      </c>
      <c r="E117" t="s">
        <v>4</v>
      </c>
      <c r="F117">
        <f>1030/37</f>
        <v>27.837837837837839</v>
      </c>
      <c r="G117" t="s">
        <v>10</v>
      </c>
    </row>
    <row r="119" spans="1:7" x14ac:dyDescent="0.35">
      <c r="A119" t="s">
        <v>4221</v>
      </c>
      <c r="B119" t="s">
        <v>2552</v>
      </c>
      <c r="C119" t="s">
        <v>4222</v>
      </c>
      <c r="D119" t="s">
        <v>419</v>
      </c>
      <c r="E119" t="s">
        <v>4</v>
      </c>
      <c r="F119">
        <f>557/37</f>
        <v>15.054054054054054</v>
      </c>
      <c r="G119" t="s">
        <v>10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DD4EC-6A80-4D44-B2F4-EFAEA3216F56}">
  <dimension ref="A1:H58"/>
  <sheetViews>
    <sheetView topLeftCell="A31" workbookViewId="0">
      <selection activeCell="A60" sqref="A60"/>
    </sheetView>
  </sheetViews>
  <sheetFormatPr defaultRowHeight="14.5" x14ac:dyDescent="0.35"/>
  <sheetData>
    <row r="1" spans="1:8" x14ac:dyDescent="0.35">
      <c r="A1" s="1" t="s">
        <v>216</v>
      </c>
      <c r="B1" s="1" t="s">
        <v>217</v>
      </c>
      <c r="C1" s="1" t="s">
        <v>218</v>
      </c>
      <c r="D1" s="1" t="s">
        <v>219</v>
      </c>
      <c r="E1" s="1" t="s">
        <v>4</v>
      </c>
      <c r="F1" s="1">
        <f>42/5.5</f>
        <v>7.6363636363636367</v>
      </c>
      <c r="G1" s="1" t="s">
        <v>10</v>
      </c>
      <c r="H1" s="1" t="s">
        <v>220</v>
      </c>
    </row>
    <row r="3" spans="1:8" x14ac:dyDescent="0.35">
      <c r="A3" s="2" t="s">
        <v>253</v>
      </c>
      <c r="B3" s="2" t="s">
        <v>254</v>
      </c>
      <c r="C3" s="2" t="s">
        <v>255</v>
      </c>
      <c r="D3" s="2" t="s">
        <v>19</v>
      </c>
      <c r="E3" s="2" t="s">
        <v>4</v>
      </c>
      <c r="F3" s="2">
        <f>176/9</f>
        <v>19.555555555555557</v>
      </c>
      <c r="G3" s="2" t="s">
        <v>5</v>
      </c>
    </row>
    <row r="4" spans="1:8" x14ac:dyDescent="0.35">
      <c r="A4" s="2"/>
      <c r="B4" s="2"/>
      <c r="C4" s="2"/>
      <c r="D4" s="2"/>
      <c r="E4" s="2"/>
      <c r="F4" s="2"/>
      <c r="G4" s="2"/>
    </row>
    <row r="5" spans="1:8" x14ac:dyDescent="0.35">
      <c r="A5" s="2" t="s">
        <v>273</v>
      </c>
      <c r="B5" s="2" t="s">
        <v>274</v>
      </c>
      <c r="C5" s="2" t="s">
        <v>275</v>
      </c>
      <c r="D5" s="2" t="s">
        <v>122</v>
      </c>
      <c r="E5" s="2" t="s">
        <v>4</v>
      </c>
      <c r="F5" s="2">
        <f>265/16</f>
        <v>16.5625</v>
      </c>
      <c r="G5" s="2" t="s">
        <v>5</v>
      </c>
      <c r="H5" t="s">
        <v>276</v>
      </c>
    </row>
    <row r="6" spans="1:8" x14ac:dyDescent="0.35">
      <c r="A6" s="2"/>
      <c r="B6" s="2"/>
      <c r="C6" s="2"/>
      <c r="D6" s="2"/>
      <c r="E6" s="2"/>
      <c r="F6" s="2"/>
      <c r="G6" s="2"/>
    </row>
    <row r="7" spans="1:8" x14ac:dyDescent="0.35">
      <c r="A7" s="2" t="s">
        <v>363</v>
      </c>
      <c r="B7" s="2" t="s">
        <v>364</v>
      </c>
      <c r="C7" s="2" t="s">
        <v>365</v>
      </c>
      <c r="D7" s="2" t="s">
        <v>366</v>
      </c>
      <c r="E7" s="2" t="s">
        <v>4</v>
      </c>
      <c r="F7" s="2">
        <f>325/14</f>
        <v>23.214285714285715</v>
      </c>
      <c r="G7" s="2" t="s">
        <v>5</v>
      </c>
    </row>
    <row r="8" spans="1:8" x14ac:dyDescent="0.35">
      <c r="A8" s="2"/>
      <c r="B8" s="2"/>
      <c r="C8" s="2"/>
      <c r="D8" s="2" t="s">
        <v>317</v>
      </c>
      <c r="E8" s="2"/>
      <c r="F8" s="2">
        <f>325/17</f>
        <v>19.117647058823529</v>
      </c>
      <c r="G8" s="2" t="s">
        <v>5</v>
      </c>
    </row>
    <row r="9" spans="1:8" x14ac:dyDescent="0.35">
      <c r="A9" s="2"/>
      <c r="B9" s="2"/>
      <c r="C9" s="2"/>
      <c r="D9" s="2"/>
      <c r="E9" s="2"/>
      <c r="F9" s="2"/>
      <c r="G9" s="2"/>
    </row>
    <row r="10" spans="1:8" x14ac:dyDescent="0.35">
      <c r="A10" s="2" t="s">
        <v>367</v>
      </c>
      <c r="B10" s="2" t="s">
        <v>368</v>
      </c>
      <c r="C10" s="2" t="s">
        <v>369</v>
      </c>
      <c r="D10" s="2" t="s">
        <v>370</v>
      </c>
      <c r="E10" s="2" t="s">
        <v>4</v>
      </c>
      <c r="F10" s="2">
        <f>23.5/1.07</f>
        <v>21.962616822429904</v>
      </c>
      <c r="G10" s="2" t="s">
        <v>5</v>
      </c>
    </row>
    <row r="12" spans="1:8" x14ac:dyDescent="0.35">
      <c r="A12" t="s">
        <v>388</v>
      </c>
      <c r="B12" t="s">
        <v>389</v>
      </c>
      <c r="C12" t="s">
        <v>390</v>
      </c>
      <c r="D12" t="s">
        <v>391</v>
      </c>
      <c r="E12" t="s">
        <v>4</v>
      </c>
      <c r="F12">
        <f>1410/73</f>
        <v>19.315068493150687</v>
      </c>
      <c r="G12" t="s">
        <v>331</v>
      </c>
    </row>
    <row r="13" spans="1:8" x14ac:dyDescent="0.35">
      <c r="G13" t="s">
        <v>392</v>
      </c>
    </row>
    <row r="15" spans="1:8" x14ac:dyDescent="0.35">
      <c r="A15" s="2" t="s">
        <v>410</v>
      </c>
      <c r="B15" s="2" t="s">
        <v>411</v>
      </c>
      <c r="C15" s="2" t="s">
        <v>412</v>
      </c>
      <c r="D15" s="2" t="s">
        <v>413</v>
      </c>
      <c r="E15" s="2" t="s">
        <v>4</v>
      </c>
      <c r="F15" s="2">
        <f>930/46</f>
        <v>20.217391304347824</v>
      </c>
      <c r="G15" s="2" t="s">
        <v>5</v>
      </c>
    </row>
    <row r="16" spans="1:8" x14ac:dyDescent="0.35">
      <c r="A16" s="2"/>
      <c r="B16" s="2" t="s">
        <v>414</v>
      </c>
      <c r="C16" s="2" t="s">
        <v>415</v>
      </c>
      <c r="D16" s="2" t="s">
        <v>39</v>
      </c>
      <c r="E16" s="2" t="s">
        <v>4</v>
      </c>
      <c r="F16" s="2">
        <f>930/49</f>
        <v>18.979591836734695</v>
      </c>
      <c r="G16" s="2" t="s">
        <v>5</v>
      </c>
    </row>
    <row r="18" spans="1:8" x14ac:dyDescent="0.35">
      <c r="A18" t="s">
        <v>491</v>
      </c>
      <c r="B18" t="s">
        <v>492</v>
      </c>
      <c r="C18" t="s">
        <v>493</v>
      </c>
      <c r="D18" t="s">
        <v>494</v>
      </c>
      <c r="E18" t="s">
        <v>4</v>
      </c>
      <c r="F18">
        <f>1000/34</f>
        <v>29.411764705882351</v>
      </c>
      <c r="G18" t="s">
        <v>5</v>
      </c>
    </row>
    <row r="20" spans="1:8" x14ac:dyDescent="0.35">
      <c r="A20" t="s">
        <v>614</v>
      </c>
      <c r="B20" t="s">
        <v>615</v>
      </c>
      <c r="C20" t="s">
        <v>616</v>
      </c>
      <c r="D20" t="s">
        <v>380</v>
      </c>
      <c r="E20" t="s">
        <v>4</v>
      </c>
      <c r="F20">
        <f>24/2.2</f>
        <v>10.909090909090908</v>
      </c>
      <c r="G20" t="s">
        <v>5</v>
      </c>
    </row>
    <row r="22" spans="1:8" x14ac:dyDescent="0.35">
      <c r="A22" t="s">
        <v>724</v>
      </c>
      <c r="B22" t="s">
        <v>725</v>
      </c>
      <c r="C22" t="s">
        <v>726</v>
      </c>
      <c r="D22" t="s">
        <v>269</v>
      </c>
      <c r="E22" t="s">
        <v>4</v>
      </c>
      <c r="F22">
        <f>62/3</f>
        <v>20.666666666666668</v>
      </c>
      <c r="G22" t="s">
        <v>5</v>
      </c>
      <c r="H22" t="s">
        <v>220</v>
      </c>
    </row>
    <row r="24" spans="1:8" x14ac:dyDescent="0.35">
      <c r="A24" t="s">
        <v>780</v>
      </c>
      <c r="B24" t="s">
        <v>781</v>
      </c>
      <c r="C24" t="s">
        <v>782</v>
      </c>
      <c r="D24" t="s">
        <v>35</v>
      </c>
      <c r="E24" t="s">
        <v>4</v>
      </c>
      <c r="F24">
        <f>140/6</f>
        <v>23.333333333333332</v>
      </c>
      <c r="G24" t="s">
        <v>5</v>
      </c>
    </row>
    <row r="26" spans="1:8" x14ac:dyDescent="0.35">
      <c r="A26" t="s">
        <v>800</v>
      </c>
      <c r="B26" t="s">
        <v>634</v>
      </c>
      <c r="C26" t="s">
        <v>801</v>
      </c>
      <c r="D26" t="s">
        <v>59</v>
      </c>
      <c r="E26" t="s">
        <v>4</v>
      </c>
      <c r="F26">
        <f>140/13</f>
        <v>10.76923076923077</v>
      </c>
      <c r="G26" t="s">
        <v>5</v>
      </c>
    </row>
    <row r="28" spans="1:8" x14ac:dyDescent="0.35">
      <c r="A28" t="s">
        <v>860</v>
      </c>
      <c r="B28" t="s">
        <v>817</v>
      </c>
      <c r="C28" t="s">
        <v>861</v>
      </c>
      <c r="D28" t="s">
        <v>153</v>
      </c>
      <c r="E28" t="s">
        <v>4</v>
      </c>
      <c r="F28">
        <f>266/26</f>
        <v>10.23076923076923</v>
      </c>
      <c r="G28" t="s">
        <v>10</v>
      </c>
    </row>
    <row r="30" spans="1:8" x14ac:dyDescent="0.35">
      <c r="A30" t="s">
        <v>865</v>
      </c>
      <c r="B30" t="s">
        <v>866</v>
      </c>
      <c r="C30" t="s">
        <v>867</v>
      </c>
      <c r="D30" t="s">
        <v>178</v>
      </c>
      <c r="E30" t="s">
        <v>4</v>
      </c>
      <c r="F30">
        <f>970/15</f>
        <v>64.666666666666671</v>
      </c>
      <c r="G30" t="s">
        <v>5</v>
      </c>
      <c r="H30" t="s">
        <v>868</v>
      </c>
    </row>
    <row r="32" spans="1:8" x14ac:dyDescent="0.35">
      <c r="A32" t="s">
        <v>873</v>
      </c>
      <c r="B32" t="s">
        <v>874</v>
      </c>
      <c r="C32" t="s">
        <v>875</v>
      </c>
      <c r="D32" t="s">
        <v>876</v>
      </c>
      <c r="E32" t="s">
        <v>4</v>
      </c>
      <c r="F32">
        <f>183/22.5</f>
        <v>8.1333333333333329</v>
      </c>
      <c r="G32" t="s">
        <v>10</v>
      </c>
    </row>
    <row r="34" spans="1:8" x14ac:dyDescent="0.35">
      <c r="A34" t="s">
        <v>939</v>
      </c>
      <c r="B34" t="s">
        <v>940</v>
      </c>
      <c r="C34" t="s">
        <v>941</v>
      </c>
      <c r="D34" t="s">
        <v>942</v>
      </c>
      <c r="E34" t="s">
        <v>4</v>
      </c>
      <c r="F34">
        <f>423/19</f>
        <v>22.263157894736842</v>
      </c>
      <c r="G34" t="s">
        <v>5</v>
      </c>
    </row>
    <row r="36" spans="1:8" x14ac:dyDescent="0.35">
      <c r="A36" t="s">
        <v>943</v>
      </c>
      <c r="B36" t="s">
        <v>944</v>
      </c>
      <c r="C36" t="s">
        <v>945</v>
      </c>
      <c r="D36" t="s">
        <v>89</v>
      </c>
      <c r="E36" t="s">
        <v>4</v>
      </c>
      <c r="F36">
        <f>102/4</f>
        <v>25.5</v>
      </c>
      <c r="G36" t="s">
        <v>5</v>
      </c>
    </row>
    <row r="38" spans="1:8" x14ac:dyDescent="0.35">
      <c r="A38" s="2" t="s">
        <v>957</v>
      </c>
      <c r="B38" s="2" t="s">
        <v>959</v>
      </c>
      <c r="C38" s="2" t="s">
        <v>960</v>
      </c>
      <c r="D38" s="2" t="s">
        <v>961</v>
      </c>
      <c r="E38" s="2" t="s">
        <v>4</v>
      </c>
      <c r="F38" s="2">
        <f>1300/83</f>
        <v>15.662650602409638</v>
      </c>
      <c r="G38" s="2" t="s">
        <v>10</v>
      </c>
      <c r="H38" s="2" t="s">
        <v>958</v>
      </c>
    </row>
    <row r="40" spans="1:8" x14ac:dyDescent="0.35">
      <c r="A40" t="s">
        <v>1087</v>
      </c>
      <c r="B40" t="s">
        <v>1088</v>
      </c>
      <c r="C40" t="s">
        <v>1089</v>
      </c>
      <c r="D40" t="s">
        <v>494</v>
      </c>
      <c r="E40" t="s">
        <v>4</v>
      </c>
      <c r="F40">
        <f>422/34</f>
        <v>12.411764705882353</v>
      </c>
      <c r="G40" t="s">
        <v>10</v>
      </c>
      <c r="H40" t="s">
        <v>1090</v>
      </c>
    </row>
    <row r="42" spans="1:8" x14ac:dyDescent="0.35">
      <c r="A42" t="s">
        <v>1347</v>
      </c>
      <c r="B42" t="s">
        <v>1348</v>
      </c>
      <c r="C42" t="s">
        <v>1349</v>
      </c>
      <c r="D42" t="s">
        <v>229</v>
      </c>
      <c r="E42" t="s">
        <v>4</v>
      </c>
      <c r="F42">
        <f>257/31</f>
        <v>8.2903225806451619</v>
      </c>
      <c r="G42" t="s">
        <v>10</v>
      </c>
    </row>
    <row r="44" spans="1:8" x14ac:dyDescent="0.35">
      <c r="A44" t="s">
        <v>1386</v>
      </c>
      <c r="B44" t="s">
        <v>186</v>
      </c>
      <c r="C44" t="s">
        <v>30</v>
      </c>
      <c r="D44" t="s">
        <v>31</v>
      </c>
    </row>
    <row r="46" spans="1:8" x14ac:dyDescent="0.35">
      <c r="A46" t="s">
        <v>253</v>
      </c>
      <c r="B46" t="s">
        <v>1521</v>
      </c>
      <c r="C46" t="s">
        <v>1522</v>
      </c>
      <c r="D46" t="s">
        <v>1002</v>
      </c>
      <c r="E46" t="s">
        <v>4</v>
      </c>
      <c r="F46">
        <f>154/7.5</f>
        <v>20.533333333333335</v>
      </c>
      <c r="G46" t="s">
        <v>5</v>
      </c>
    </row>
    <row r="48" spans="1:8" x14ac:dyDescent="0.35">
      <c r="A48" t="s">
        <v>1840</v>
      </c>
      <c r="B48" t="s">
        <v>1278</v>
      </c>
      <c r="C48" t="s">
        <v>379</v>
      </c>
      <c r="D48" t="s">
        <v>380</v>
      </c>
      <c r="E48" t="s">
        <v>4</v>
      </c>
      <c r="F48">
        <f>83/2.2</f>
        <v>37.727272727272727</v>
      </c>
      <c r="G48" t="s">
        <v>5</v>
      </c>
    </row>
    <row r="50" spans="1:7" x14ac:dyDescent="0.35">
      <c r="A50" t="s">
        <v>1923</v>
      </c>
      <c r="B50" t="s">
        <v>29</v>
      </c>
    </row>
    <row r="52" spans="1:7" x14ac:dyDescent="0.35">
      <c r="A52" t="s">
        <v>1998</v>
      </c>
      <c r="B52" t="s">
        <v>1271</v>
      </c>
      <c r="C52" t="s">
        <v>1733</v>
      </c>
      <c r="D52" t="s">
        <v>1059</v>
      </c>
      <c r="E52" t="s">
        <v>4</v>
      </c>
      <c r="F52">
        <f>310/17.5</f>
        <v>17.714285714285715</v>
      </c>
      <c r="G52" t="s">
        <v>5</v>
      </c>
    </row>
    <row r="54" spans="1:7" x14ac:dyDescent="0.35">
      <c r="A54" t="s">
        <v>2239</v>
      </c>
      <c r="B54" t="s">
        <v>2240</v>
      </c>
      <c r="C54" t="s">
        <v>2241</v>
      </c>
      <c r="D54" t="s">
        <v>2242</v>
      </c>
      <c r="E54" t="s">
        <v>4</v>
      </c>
      <c r="F54">
        <f>624/86</f>
        <v>7.2558139534883717</v>
      </c>
      <c r="G54" t="s">
        <v>10</v>
      </c>
    </row>
    <row r="56" spans="1:7" x14ac:dyDescent="0.35">
      <c r="A56" t="s">
        <v>2454</v>
      </c>
      <c r="B56" t="s">
        <v>530</v>
      </c>
      <c r="C56" t="s">
        <v>2180</v>
      </c>
      <c r="D56" t="s">
        <v>1249</v>
      </c>
      <c r="E56" t="s">
        <v>4</v>
      </c>
      <c r="F56">
        <f>352/27</f>
        <v>13.037037037037036</v>
      </c>
      <c r="G56" t="s">
        <v>15</v>
      </c>
    </row>
    <row r="58" spans="1:7" x14ac:dyDescent="0.35">
      <c r="A58" t="s">
        <v>3317</v>
      </c>
      <c r="B58" t="s">
        <v>3146</v>
      </c>
      <c r="C58" t="s">
        <v>2797</v>
      </c>
      <c r="D58" t="s">
        <v>229</v>
      </c>
      <c r="E58" t="s">
        <v>4</v>
      </c>
      <c r="F58">
        <f>207/31</f>
        <v>6.67741935483871</v>
      </c>
      <c r="G58" t="s">
        <v>10</v>
      </c>
    </row>
  </sheetData>
  <pageMargins left="0.7" right="0.7" top="0.75" bottom="0.75" header="0.3" footer="0.3"/>
  <pageSetup orientation="portrait" horizontalDpi="1200" verticalDpi="12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F562-F880-495A-B33B-762BCE82E7B6}">
  <dimension ref="A1:I27"/>
  <sheetViews>
    <sheetView workbookViewId="0">
      <selection activeCell="A29" sqref="A29"/>
    </sheetView>
  </sheetViews>
  <sheetFormatPr defaultRowHeight="14.5" x14ac:dyDescent="0.35"/>
  <sheetData>
    <row r="1" spans="1:9" x14ac:dyDescent="0.3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4</v>
      </c>
      <c r="F1" s="1">
        <f>65/8.9</f>
        <v>7.3033707865168536</v>
      </c>
      <c r="G1" s="1" t="s">
        <v>10</v>
      </c>
      <c r="H1" s="1" t="s">
        <v>107</v>
      </c>
      <c r="I1" s="1" t="s">
        <v>106</v>
      </c>
    </row>
    <row r="2" spans="1:9" x14ac:dyDescent="0.35">
      <c r="H2" t="s">
        <v>108</v>
      </c>
    </row>
    <row r="4" spans="1:9" x14ac:dyDescent="0.35">
      <c r="A4" t="s">
        <v>154</v>
      </c>
      <c r="B4" t="s">
        <v>155</v>
      </c>
      <c r="C4" t="s">
        <v>156</v>
      </c>
      <c r="D4" t="s">
        <v>157</v>
      </c>
      <c r="E4" t="s">
        <v>4</v>
      </c>
      <c r="F4">
        <f>36/2.7</f>
        <v>13.333333333333332</v>
      </c>
      <c r="G4" t="s">
        <v>5</v>
      </c>
    </row>
    <row r="6" spans="1:9" x14ac:dyDescent="0.35">
      <c r="A6" s="1" t="s">
        <v>161</v>
      </c>
      <c r="B6" s="1" t="s">
        <v>162</v>
      </c>
      <c r="C6" s="1" t="s">
        <v>163</v>
      </c>
      <c r="D6" s="1" t="s">
        <v>164</v>
      </c>
      <c r="E6" s="1" t="s">
        <v>4</v>
      </c>
      <c r="F6" s="1">
        <f>180/25</f>
        <v>7.2</v>
      </c>
      <c r="G6" s="1" t="s">
        <v>10</v>
      </c>
      <c r="H6" s="1" t="s">
        <v>165</v>
      </c>
    </row>
    <row r="7" spans="1:9" x14ac:dyDescent="0.35">
      <c r="H7" t="s">
        <v>166</v>
      </c>
    </row>
    <row r="9" spans="1:9" x14ac:dyDescent="0.35">
      <c r="A9" s="1" t="s">
        <v>288</v>
      </c>
      <c r="B9" s="1" t="s">
        <v>289</v>
      </c>
      <c r="C9" s="1" t="s">
        <v>290</v>
      </c>
      <c r="D9" s="1" t="s">
        <v>219</v>
      </c>
      <c r="E9" s="1" t="s">
        <v>4</v>
      </c>
      <c r="F9" s="1">
        <f>38.6/5.5</f>
        <v>7.0181818181818185</v>
      </c>
      <c r="G9" s="1" t="s">
        <v>10</v>
      </c>
      <c r="H9" s="1" t="s">
        <v>165</v>
      </c>
      <c r="I9" s="1"/>
    </row>
    <row r="11" spans="1:9" x14ac:dyDescent="0.35">
      <c r="A11" s="2" t="s">
        <v>371</v>
      </c>
      <c r="B11" s="2" t="s">
        <v>372</v>
      </c>
      <c r="C11" s="2" t="s">
        <v>373</v>
      </c>
      <c r="D11" s="2" t="s">
        <v>19</v>
      </c>
      <c r="E11" s="2" t="s">
        <v>4</v>
      </c>
      <c r="F11" s="2">
        <f>104/9</f>
        <v>11.555555555555555</v>
      </c>
      <c r="G11" s="2" t="s">
        <v>5</v>
      </c>
    </row>
    <row r="12" spans="1:9" x14ac:dyDescent="0.35">
      <c r="A12" s="2"/>
      <c r="B12" s="2"/>
      <c r="C12" s="2"/>
      <c r="D12" s="2"/>
      <c r="E12" s="2"/>
      <c r="F12" s="2"/>
      <c r="G12" s="2"/>
    </row>
    <row r="13" spans="1:9" x14ac:dyDescent="0.35">
      <c r="A13" s="2" t="s">
        <v>377</v>
      </c>
      <c r="B13" s="2" t="s">
        <v>378</v>
      </c>
      <c r="C13" s="2" t="s">
        <v>379</v>
      </c>
      <c r="D13" s="2" t="s">
        <v>380</v>
      </c>
      <c r="E13" s="2" t="s">
        <v>4</v>
      </c>
      <c r="F13" s="2">
        <f>29.7/2.2</f>
        <v>13.499999999999998</v>
      </c>
      <c r="G13" s="2" t="s">
        <v>5</v>
      </c>
    </row>
    <row r="14" spans="1:9" x14ac:dyDescent="0.35">
      <c r="A14" s="2"/>
      <c r="B14" s="2"/>
      <c r="C14" s="2"/>
      <c r="D14" s="2"/>
      <c r="E14" s="2"/>
      <c r="F14" s="2"/>
      <c r="G14" s="2"/>
    </row>
    <row r="15" spans="1:9" x14ac:dyDescent="0.35">
      <c r="A15" s="2" t="s">
        <v>393</v>
      </c>
      <c r="B15" s="2" t="s">
        <v>394</v>
      </c>
      <c r="C15" s="2" t="s">
        <v>395</v>
      </c>
      <c r="D15" s="2" t="s">
        <v>174</v>
      </c>
      <c r="E15" s="2" t="s">
        <v>4</v>
      </c>
      <c r="F15" s="2">
        <f>29/1.75</f>
        <v>16.571428571428573</v>
      </c>
      <c r="G15" s="2" t="s">
        <v>5</v>
      </c>
    </row>
    <row r="17" spans="1:7" x14ac:dyDescent="0.35">
      <c r="A17" s="1" t="s">
        <v>539</v>
      </c>
      <c r="B17" s="1" t="s">
        <v>540</v>
      </c>
      <c r="C17" s="1" t="s">
        <v>541</v>
      </c>
      <c r="D17" s="1" t="s">
        <v>280</v>
      </c>
      <c r="E17" s="1" t="s">
        <v>4</v>
      </c>
      <c r="F17" s="1">
        <f>99/20</f>
        <v>4.95</v>
      </c>
      <c r="G17" s="1" t="s">
        <v>10</v>
      </c>
    </row>
    <row r="19" spans="1:7" x14ac:dyDescent="0.35">
      <c r="A19" t="s">
        <v>639</v>
      </c>
      <c r="B19" t="s">
        <v>640</v>
      </c>
      <c r="C19" t="s">
        <v>641</v>
      </c>
      <c r="D19" t="s">
        <v>86</v>
      </c>
      <c r="E19" t="s">
        <v>4</v>
      </c>
      <c r="F19">
        <f>157/22</f>
        <v>7.1363636363636367</v>
      </c>
      <c r="G19" t="s">
        <v>10</v>
      </c>
    </row>
    <row r="21" spans="1:7" x14ac:dyDescent="0.35">
      <c r="A21" s="1" t="s">
        <v>712</v>
      </c>
      <c r="B21" s="1" t="s">
        <v>713</v>
      </c>
      <c r="C21" s="1" t="s">
        <v>714</v>
      </c>
      <c r="D21" s="1" t="s">
        <v>573</v>
      </c>
      <c r="E21" s="1" t="s">
        <v>4</v>
      </c>
      <c r="F21" s="1">
        <f>900/90</f>
        <v>10</v>
      </c>
      <c r="G21" s="1" t="s">
        <v>10</v>
      </c>
    </row>
    <row r="23" spans="1:7" x14ac:dyDescent="0.35">
      <c r="A23" s="1" t="s">
        <v>1399</v>
      </c>
      <c r="B23" s="1" t="s">
        <v>1210</v>
      </c>
      <c r="C23" s="1" t="s">
        <v>1400</v>
      </c>
      <c r="D23" s="1" t="s">
        <v>86</v>
      </c>
      <c r="E23" s="1" t="s">
        <v>4</v>
      </c>
      <c r="F23" s="1">
        <f>150/22</f>
        <v>6.8181818181818183</v>
      </c>
      <c r="G23" s="1" t="s">
        <v>10</v>
      </c>
    </row>
    <row r="25" spans="1:7" x14ac:dyDescent="0.35">
      <c r="A25" s="1" t="s">
        <v>1747</v>
      </c>
      <c r="B25" s="1" t="s">
        <v>1748</v>
      </c>
      <c r="C25" s="1" t="s">
        <v>1749</v>
      </c>
      <c r="D25" s="1" t="s">
        <v>1750</v>
      </c>
      <c r="E25" s="1" t="s">
        <v>4</v>
      </c>
      <c r="F25" s="1">
        <f>300/38</f>
        <v>7.8947368421052628</v>
      </c>
      <c r="G25" s="1" t="s">
        <v>10</v>
      </c>
    </row>
    <row r="27" spans="1:7" x14ac:dyDescent="0.35">
      <c r="A27" s="1" t="s">
        <v>2611</v>
      </c>
      <c r="B27" s="1" t="s">
        <v>2612</v>
      </c>
      <c r="C27" s="1" t="s">
        <v>2613</v>
      </c>
      <c r="D27" s="1" t="s">
        <v>573</v>
      </c>
      <c r="E27" s="1" t="s">
        <v>4</v>
      </c>
      <c r="F27" s="1">
        <f>1050/90</f>
        <v>11.666666666666666</v>
      </c>
      <c r="G27" s="1" t="s">
        <v>10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3BC91-A16C-49C2-8A91-CFAE60A62D79}">
  <dimension ref="A1:G15"/>
  <sheetViews>
    <sheetView workbookViewId="0">
      <selection activeCell="A17" sqref="A17"/>
    </sheetView>
  </sheetViews>
  <sheetFormatPr defaultRowHeight="14.5" x14ac:dyDescent="0.35"/>
  <sheetData>
    <row r="1" spans="1:7" x14ac:dyDescent="0.35">
      <c r="A1" t="s">
        <v>877</v>
      </c>
      <c r="B1" t="s">
        <v>878</v>
      </c>
      <c r="C1" t="s">
        <v>753</v>
      </c>
      <c r="D1" t="s">
        <v>819</v>
      </c>
      <c r="E1" t="s">
        <v>4</v>
      </c>
      <c r="F1">
        <f>1068/29</f>
        <v>36.827586206896555</v>
      </c>
      <c r="G1" t="s">
        <v>5</v>
      </c>
    </row>
    <row r="3" spans="1:7" x14ac:dyDescent="0.35">
      <c r="A3" t="s">
        <v>1884</v>
      </c>
      <c r="B3" t="s">
        <v>1885</v>
      </c>
      <c r="C3" t="s">
        <v>1886</v>
      </c>
      <c r="D3" t="s">
        <v>309</v>
      </c>
      <c r="E3" t="s">
        <v>4</v>
      </c>
      <c r="F3">
        <f>415/17</f>
        <v>24.411764705882351</v>
      </c>
      <c r="G3" t="s">
        <v>5</v>
      </c>
    </row>
    <row r="5" spans="1:7" x14ac:dyDescent="0.35">
      <c r="A5" s="1" t="s">
        <v>2648</v>
      </c>
      <c r="B5" s="1" t="s">
        <v>2649</v>
      </c>
      <c r="C5" s="1" t="s">
        <v>2650</v>
      </c>
      <c r="D5" s="1" t="s">
        <v>494</v>
      </c>
      <c r="E5" s="1" t="s">
        <v>4</v>
      </c>
      <c r="F5" s="1">
        <f>380/34</f>
        <v>11.176470588235293</v>
      </c>
      <c r="G5" s="1" t="s">
        <v>10</v>
      </c>
    </row>
    <row r="7" spans="1:7" x14ac:dyDescent="0.35">
      <c r="A7" t="s">
        <v>2807</v>
      </c>
      <c r="B7" t="s">
        <v>2808</v>
      </c>
      <c r="C7" t="s">
        <v>2355</v>
      </c>
      <c r="D7" t="s">
        <v>229</v>
      </c>
      <c r="E7" t="s">
        <v>4</v>
      </c>
      <c r="F7">
        <f>1620/31</f>
        <v>52.258064516129032</v>
      </c>
      <c r="G7" t="s">
        <v>5</v>
      </c>
    </row>
    <row r="9" spans="1:7" x14ac:dyDescent="0.35">
      <c r="A9" t="s">
        <v>2918</v>
      </c>
      <c r="B9" t="s">
        <v>1744</v>
      </c>
      <c r="C9" t="s">
        <v>2919</v>
      </c>
      <c r="D9" t="s">
        <v>2920</v>
      </c>
      <c r="E9" t="s">
        <v>4</v>
      </c>
      <c r="F9">
        <f>127/7.4</f>
        <v>17.162162162162161</v>
      </c>
      <c r="G9" t="s">
        <v>10</v>
      </c>
    </row>
    <row r="11" spans="1:7" x14ac:dyDescent="0.35">
      <c r="A11" t="s">
        <v>3320</v>
      </c>
      <c r="B11" t="s">
        <v>3321</v>
      </c>
      <c r="C11" t="s">
        <v>225</v>
      </c>
      <c r="D11" t="s">
        <v>112</v>
      </c>
      <c r="E11" t="s">
        <v>4</v>
      </c>
      <c r="F11">
        <f>62/1.8</f>
        <v>34.444444444444443</v>
      </c>
      <c r="G11" t="s">
        <v>5</v>
      </c>
    </row>
    <row r="13" spans="1:7" x14ac:dyDescent="0.35">
      <c r="A13" t="s">
        <v>4090</v>
      </c>
      <c r="B13" t="s">
        <v>29</v>
      </c>
      <c r="C13" t="s">
        <v>3768</v>
      </c>
      <c r="D13" t="s">
        <v>192</v>
      </c>
      <c r="E13" t="s">
        <v>4</v>
      </c>
      <c r="F13">
        <f>711/11</f>
        <v>64.63636363636364</v>
      </c>
      <c r="G13" t="s">
        <v>5</v>
      </c>
    </row>
    <row r="15" spans="1:7" x14ac:dyDescent="0.35">
      <c r="A15" t="s">
        <v>4275</v>
      </c>
      <c r="B15" t="s">
        <v>1459</v>
      </c>
      <c r="C15" t="s">
        <v>4276</v>
      </c>
      <c r="D15" t="s">
        <v>463</v>
      </c>
      <c r="E15" t="s">
        <v>4</v>
      </c>
      <c r="F15">
        <f>550/24</f>
        <v>22.916666666666668</v>
      </c>
      <c r="G15" t="s">
        <v>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942B-F3DB-419F-9C31-03F4B8396EB1}">
  <dimension ref="A1:G29"/>
  <sheetViews>
    <sheetView topLeftCell="A2" workbookViewId="0">
      <selection activeCell="A31" sqref="A31"/>
    </sheetView>
  </sheetViews>
  <sheetFormatPr defaultRowHeight="14.5" x14ac:dyDescent="0.35"/>
  <sheetData>
    <row r="1" spans="1:7" x14ac:dyDescent="0.35">
      <c r="A1" t="s">
        <v>1933</v>
      </c>
      <c r="B1" t="s">
        <v>245</v>
      </c>
      <c r="C1" t="s">
        <v>34</v>
      </c>
      <c r="D1" t="s">
        <v>79</v>
      </c>
      <c r="E1" t="s">
        <v>4</v>
      </c>
      <c r="F1">
        <f>337/10</f>
        <v>33.700000000000003</v>
      </c>
      <c r="G1" t="s">
        <v>5</v>
      </c>
    </row>
    <row r="3" spans="1:7" x14ac:dyDescent="0.35">
      <c r="A3" t="s">
        <v>1976</v>
      </c>
      <c r="B3" t="s">
        <v>1977</v>
      </c>
      <c r="C3" t="s">
        <v>1978</v>
      </c>
      <c r="D3" t="s">
        <v>229</v>
      </c>
      <c r="E3" t="s">
        <v>4</v>
      </c>
      <c r="F3">
        <f>500/31</f>
        <v>16.129032258064516</v>
      </c>
      <c r="G3" t="s">
        <v>10</v>
      </c>
    </row>
    <row r="5" spans="1:7" x14ac:dyDescent="0.35">
      <c r="A5" t="s">
        <v>2198</v>
      </c>
      <c r="B5" t="s">
        <v>1694</v>
      </c>
      <c r="C5" t="s">
        <v>2199</v>
      </c>
      <c r="D5" t="s">
        <v>387</v>
      </c>
      <c r="E5" t="s">
        <v>4</v>
      </c>
      <c r="F5">
        <f>158/7</f>
        <v>22.571428571428573</v>
      </c>
      <c r="G5" t="s">
        <v>5</v>
      </c>
    </row>
    <row r="7" spans="1:7" x14ac:dyDescent="0.35">
      <c r="A7" t="s">
        <v>2205</v>
      </c>
      <c r="B7" t="s">
        <v>966</v>
      </c>
      <c r="C7" t="s">
        <v>18</v>
      </c>
      <c r="D7" t="s">
        <v>2021</v>
      </c>
      <c r="E7" t="s">
        <v>4</v>
      </c>
      <c r="F7">
        <f>226/8.7</f>
        <v>25.977011494252874</v>
      </c>
      <c r="G7" t="s">
        <v>10</v>
      </c>
    </row>
    <row r="9" spans="1:7" x14ac:dyDescent="0.35">
      <c r="A9" t="s">
        <v>2573</v>
      </c>
      <c r="B9" t="s">
        <v>29</v>
      </c>
      <c r="C9" t="s">
        <v>30</v>
      </c>
      <c r="D9" t="s">
        <v>144</v>
      </c>
      <c r="E9" t="s">
        <v>4</v>
      </c>
      <c r="F9">
        <f>1600/30</f>
        <v>53.333333333333336</v>
      </c>
      <c r="G9" t="s">
        <v>5</v>
      </c>
    </row>
    <row r="11" spans="1:7" x14ac:dyDescent="0.35">
      <c r="A11" s="1" t="s">
        <v>2666</v>
      </c>
      <c r="B11" s="1" t="s">
        <v>2667</v>
      </c>
      <c r="C11" s="1" t="s">
        <v>1307</v>
      </c>
      <c r="D11" s="1" t="s">
        <v>827</v>
      </c>
      <c r="E11" s="1" t="s">
        <v>4</v>
      </c>
      <c r="F11" s="1">
        <f>785/33</f>
        <v>23.787878787878789</v>
      </c>
      <c r="G11" s="1" t="s">
        <v>10</v>
      </c>
    </row>
    <row r="13" spans="1:7" x14ac:dyDescent="0.35">
      <c r="A13" t="s">
        <v>2767</v>
      </c>
      <c r="B13" t="s">
        <v>2768</v>
      </c>
      <c r="C13" t="s">
        <v>1797</v>
      </c>
      <c r="D13" t="s">
        <v>2769</v>
      </c>
      <c r="E13" t="s">
        <v>4</v>
      </c>
      <c r="F13">
        <f>330/5.3</f>
        <v>62.264150943396231</v>
      </c>
      <c r="G13" t="s">
        <v>5</v>
      </c>
    </row>
    <row r="15" spans="1:7" x14ac:dyDescent="0.35">
      <c r="A15" t="s">
        <v>2979</v>
      </c>
      <c r="B15" t="s">
        <v>2118</v>
      </c>
      <c r="C15" t="s">
        <v>2980</v>
      </c>
      <c r="D15" t="s">
        <v>258</v>
      </c>
      <c r="E15" t="s">
        <v>4</v>
      </c>
      <c r="F15">
        <f>122/5</f>
        <v>24.4</v>
      </c>
      <c r="G15" t="s">
        <v>5</v>
      </c>
    </row>
    <row r="17" spans="1:7" x14ac:dyDescent="0.35">
      <c r="A17" t="s">
        <v>3459</v>
      </c>
      <c r="B17" t="s">
        <v>3460</v>
      </c>
      <c r="C17" t="s">
        <v>3336</v>
      </c>
      <c r="D17" t="s">
        <v>229</v>
      </c>
      <c r="E17" t="s">
        <v>4</v>
      </c>
      <c r="F17">
        <f>1400/31</f>
        <v>45.161290322580648</v>
      </c>
      <c r="G17" t="s">
        <v>5</v>
      </c>
    </row>
    <row r="19" spans="1:7" x14ac:dyDescent="0.35">
      <c r="A19" t="s">
        <v>3511</v>
      </c>
      <c r="B19" t="s">
        <v>1319</v>
      </c>
      <c r="C19" t="s">
        <v>3427</v>
      </c>
      <c r="D19" t="s">
        <v>258</v>
      </c>
      <c r="E19" t="s">
        <v>4</v>
      </c>
      <c r="F19">
        <f>311/5</f>
        <v>62.2</v>
      </c>
      <c r="G19" t="s">
        <v>5</v>
      </c>
    </row>
    <row r="21" spans="1:7" x14ac:dyDescent="0.35">
      <c r="A21" t="s">
        <v>3524</v>
      </c>
      <c r="B21" t="s">
        <v>2118</v>
      </c>
      <c r="C21" t="s">
        <v>3525</v>
      </c>
      <c r="D21" t="s">
        <v>3526</v>
      </c>
      <c r="E21" t="s">
        <v>4</v>
      </c>
      <c r="F21">
        <f>156/6.75</f>
        <v>23.111111111111111</v>
      </c>
      <c r="G21" t="s">
        <v>5</v>
      </c>
    </row>
    <row r="23" spans="1:7" x14ac:dyDescent="0.35">
      <c r="A23" t="s">
        <v>3677</v>
      </c>
      <c r="B23" t="s">
        <v>1426</v>
      </c>
      <c r="C23" t="s">
        <v>1886</v>
      </c>
      <c r="D23" t="s">
        <v>144</v>
      </c>
      <c r="E23" t="s">
        <v>4</v>
      </c>
      <c r="F23">
        <f>1180/30</f>
        <v>39.333333333333336</v>
      </c>
      <c r="G23" t="s">
        <v>5</v>
      </c>
    </row>
    <row r="25" spans="1:7" x14ac:dyDescent="0.35">
      <c r="A25" t="s">
        <v>3794</v>
      </c>
      <c r="B25" t="s">
        <v>3696</v>
      </c>
      <c r="C25" t="s">
        <v>2507</v>
      </c>
      <c r="D25" t="s">
        <v>352</v>
      </c>
      <c r="E25" t="s">
        <v>4</v>
      </c>
      <c r="F25">
        <f>622/18</f>
        <v>34.555555555555557</v>
      </c>
      <c r="G25" t="s">
        <v>10</v>
      </c>
    </row>
    <row r="27" spans="1:7" x14ac:dyDescent="0.35">
      <c r="A27" t="s">
        <v>3854</v>
      </c>
      <c r="B27" t="s">
        <v>3855</v>
      </c>
      <c r="C27" t="s">
        <v>3856</v>
      </c>
      <c r="D27" t="s">
        <v>3857</v>
      </c>
      <c r="E27" t="s">
        <v>4</v>
      </c>
      <c r="F27">
        <f>4700/160</f>
        <v>29.375</v>
      </c>
      <c r="G27" t="s">
        <v>10</v>
      </c>
    </row>
    <row r="29" spans="1:7" x14ac:dyDescent="0.35">
      <c r="A29" t="s">
        <v>4215</v>
      </c>
      <c r="B29" t="s">
        <v>4216</v>
      </c>
      <c r="C29" t="s">
        <v>3295</v>
      </c>
      <c r="D29" t="s">
        <v>366</v>
      </c>
      <c r="E29" t="s">
        <v>4</v>
      </c>
      <c r="F29">
        <f>760/14</f>
        <v>54.285714285714285</v>
      </c>
      <c r="G29" t="s">
        <v>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FB5AD-CB85-4858-9810-196629700B53}">
  <dimension ref="A1:H87"/>
  <sheetViews>
    <sheetView topLeftCell="A60" workbookViewId="0">
      <selection activeCell="A89" sqref="A89"/>
    </sheetView>
  </sheetViews>
  <sheetFormatPr defaultRowHeight="14.5" x14ac:dyDescent="0.35"/>
  <sheetData>
    <row r="1" spans="1:7" x14ac:dyDescent="0.35">
      <c r="A1" s="2" t="s">
        <v>404</v>
      </c>
      <c r="B1" s="2" t="s">
        <v>405</v>
      </c>
      <c r="C1" s="2" t="s">
        <v>406</v>
      </c>
      <c r="D1" s="2" t="s">
        <v>366</v>
      </c>
      <c r="E1" s="2" t="s">
        <v>4</v>
      </c>
      <c r="F1" s="2">
        <f>1527/14</f>
        <v>109.07142857142857</v>
      </c>
      <c r="G1" s="2" t="s">
        <v>5</v>
      </c>
    </row>
    <row r="3" spans="1:7" x14ac:dyDescent="0.35">
      <c r="A3" s="2" t="s">
        <v>437</v>
      </c>
      <c r="B3" s="2" t="s">
        <v>438</v>
      </c>
      <c r="C3" s="2" t="s">
        <v>30</v>
      </c>
    </row>
    <row r="5" spans="1:7" x14ac:dyDescent="0.35">
      <c r="A5" t="s">
        <v>475</v>
      </c>
      <c r="B5" t="s">
        <v>476</v>
      </c>
      <c r="C5" t="s">
        <v>477</v>
      </c>
      <c r="D5" t="s">
        <v>141</v>
      </c>
      <c r="E5" t="s">
        <v>4</v>
      </c>
      <c r="F5">
        <f>1529/68</f>
        <v>22.485294117647058</v>
      </c>
      <c r="G5" t="s">
        <v>10</v>
      </c>
    </row>
    <row r="7" spans="1:7" x14ac:dyDescent="0.35">
      <c r="A7" t="s">
        <v>550</v>
      </c>
      <c r="B7" t="s">
        <v>551</v>
      </c>
      <c r="C7" t="s">
        <v>552</v>
      </c>
      <c r="D7" t="s">
        <v>164</v>
      </c>
      <c r="E7" t="s">
        <v>4</v>
      </c>
      <c r="F7">
        <f>78/25</f>
        <v>3.12</v>
      </c>
      <c r="G7" t="s">
        <v>10</v>
      </c>
    </row>
    <row r="9" spans="1:7" x14ac:dyDescent="0.35">
      <c r="A9" s="2" t="s">
        <v>783</v>
      </c>
      <c r="B9" s="2" t="s">
        <v>784</v>
      </c>
      <c r="C9" s="2" t="s">
        <v>785</v>
      </c>
      <c r="D9" s="2" t="s">
        <v>786</v>
      </c>
      <c r="E9" s="2" t="s">
        <v>4</v>
      </c>
      <c r="F9" s="2">
        <f>640/17.6</f>
        <v>36.36363636363636</v>
      </c>
      <c r="G9" s="2" t="s">
        <v>5</v>
      </c>
    </row>
    <row r="11" spans="1:7" x14ac:dyDescent="0.35">
      <c r="A11" t="s">
        <v>977</v>
      </c>
      <c r="B11" t="s">
        <v>354</v>
      </c>
      <c r="C11" t="s">
        <v>978</v>
      </c>
      <c r="D11" t="s">
        <v>164</v>
      </c>
      <c r="E11" t="s">
        <v>4</v>
      </c>
      <c r="F11">
        <f>417/25</f>
        <v>16.68</v>
      </c>
      <c r="G11" t="s">
        <v>10</v>
      </c>
    </row>
    <row r="13" spans="1:7" x14ac:dyDescent="0.35">
      <c r="A13" t="s">
        <v>1037</v>
      </c>
      <c r="B13" t="s">
        <v>1038</v>
      </c>
      <c r="C13" t="s">
        <v>1039</v>
      </c>
      <c r="D13" t="s">
        <v>366</v>
      </c>
      <c r="E13" t="s">
        <v>4</v>
      </c>
      <c r="F13">
        <f>370/14</f>
        <v>26.428571428571427</v>
      </c>
      <c r="G13" t="s">
        <v>5</v>
      </c>
    </row>
    <row r="15" spans="1:7" x14ac:dyDescent="0.35">
      <c r="A15" t="s">
        <v>1048</v>
      </c>
      <c r="B15" t="s">
        <v>1049</v>
      </c>
      <c r="C15" t="s">
        <v>1050</v>
      </c>
      <c r="D15" t="s">
        <v>63</v>
      </c>
      <c r="E15" t="s">
        <v>4</v>
      </c>
      <c r="F15">
        <f>1108/60</f>
        <v>18.466666666666665</v>
      </c>
      <c r="G15" t="s">
        <v>10</v>
      </c>
    </row>
    <row r="17" spans="1:8" x14ac:dyDescent="0.35">
      <c r="A17" t="s">
        <v>1075</v>
      </c>
      <c r="B17" t="s">
        <v>29</v>
      </c>
      <c r="C17" t="s">
        <v>30</v>
      </c>
      <c r="D17" t="s">
        <v>31</v>
      </c>
    </row>
    <row r="19" spans="1:8" x14ac:dyDescent="0.35">
      <c r="A19" t="s">
        <v>1218</v>
      </c>
      <c r="B19" t="s">
        <v>1219</v>
      </c>
      <c r="C19" t="s">
        <v>1220</v>
      </c>
      <c r="D19" t="s">
        <v>827</v>
      </c>
      <c r="E19" t="s">
        <v>4</v>
      </c>
      <c r="F19">
        <f>1725/33</f>
        <v>52.272727272727273</v>
      </c>
      <c r="G19" t="s">
        <v>5</v>
      </c>
      <c r="H19" t="s">
        <v>1221</v>
      </c>
    </row>
    <row r="21" spans="1:8" x14ac:dyDescent="0.35">
      <c r="A21" t="s">
        <v>1279</v>
      </c>
      <c r="B21" t="s">
        <v>1280</v>
      </c>
      <c r="C21" t="s">
        <v>1281</v>
      </c>
      <c r="D21" t="s">
        <v>494</v>
      </c>
      <c r="E21" t="s">
        <v>4</v>
      </c>
      <c r="F21">
        <f>1020/34</f>
        <v>30</v>
      </c>
      <c r="G21" t="s">
        <v>5</v>
      </c>
    </row>
    <row r="23" spans="1:8" x14ac:dyDescent="0.35">
      <c r="A23" t="s">
        <v>1290</v>
      </c>
      <c r="B23" t="s">
        <v>1291</v>
      </c>
      <c r="C23" t="s">
        <v>1292</v>
      </c>
      <c r="D23" t="s">
        <v>164</v>
      </c>
      <c r="E23" t="s">
        <v>4</v>
      </c>
      <c r="F23">
        <f>226/25</f>
        <v>9.0399999999999991</v>
      </c>
      <c r="G23" t="s">
        <v>10</v>
      </c>
    </row>
    <row r="25" spans="1:8" x14ac:dyDescent="0.35">
      <c r="A25" t="s">
        <v>1341</v>
      </c>
      <c r="B25" t="s">
        <v>665</v>
      </c>
      <c r="C25" t="s">
        <v>1342</v>
      </c>
      <c r="D25" t="s">
        <v>247</v>
      </c>
      <c r="E25" t="s">
        <v>4</v>
      </c>
      <c r="F25">
        <f>110/8.5</f>
        <v>12.941176470588236</v>
      </c>
      <c r="G25" t="s">
        <v>10</v>
      </c>
    </row>
    <row r="27" spans="1:8" x14ac:dyDescent="0.35">
      <c r="A27" t="s">
        <v>1367</v>
      </c>
      <c r="B27" t="s">
        <v>1202</v>
      </c>
      <c r="C27" t="s">
        <v>1368</v>
      </c>
      <c r="D27" t="s">
        <v>35</v>
      </c>
      <c r="E27" t="s">
        <v>4</v>
      </c>
      <c r="F27">
        <f>146/6</f>
        <v>24.333333333333332</v>
      </c>
      <c r="G27" t="s">
        <v>5</v>
      </c>
    </row>
    <row r="29" spans="1:8" x14ac:dyDescent="0.35">
      <c r="A29" t="s">
        <v>1537</v>
      </c>
      <c r="B29" t="s">
        <v>1538</v>
      </c>
      <c r="C29" t="s">
        <v>552</v>
      </c>
      <c r="D29" t="s">
        <v>593</v>
      </c>
      <c r="E29" t="s">
        <v>4</v>
      </c>
      <c r="F29">
        <f>1425/27</f>
        <v>52.777777777777779</v>
      </c>
      <c r="G29" t="s">
        <v>5</v>
      </c>
    </row>
    <row r="31" spans="1:8" x14ac:dyDescent="0.35">
      <c r="A31" t="s">
        <v>1556</v>
      </c>
      <c r="B31" t="s">
        <v>1557</v>
      </c>
      <c r="C31" t="s">
        <v>1558</v>
      </c>
      <c r="D31" t="s">
        <v>144</v>
      </c>
      <c r="E31" t="s">
        <v>4</v>
      </c>
      <c r="F31">
        <f>752/30</f>
        <v>25.066666666666666</v>
      </c>
      <c r="G31" t="s">
        <v>1559</v>
      </c>
    </row>
    <row r="33" spans="1:8" x14ac:dyDescent="0.35">
      <c r="A33" t="s">
        <v>1603</v>
      </c>
      <c r="B33" t="s">
        <v>798</v>
      </c>
      <c r="C33" t="s">
        <v>1604</v>
      </c>
      <c r="D33" t="s">
        <v>134</v>
      </c>
      <c r="E33" t="s">
        <v>4</v>
      </c>
      <c r="F33">
        <f>750/12</f>
        <v>62.5</v>
      </c>
      <c r="G33" t="s">
        <v>5</v>
      </c>
    </row>
    <row r="35" spans="1:8" x14ac:dyDescent="0.35">
      <c r="A35" t="s">
        <v>1633</v>
      </c>
      <c r="B35" t="s">
        <v>1634</v>
      </c>
      <c r="C35" t="s">
        <v>1635</v>
      </c>
      <c r="D35" t="s">
        <v>258</v>
      </c>
      <c r="E35" t="s">
        <v>4</v>
      </c>
      <c r="F35">
        <f>160/5</f>
        <v>32</v>
      </c>
      <c r="G35" t="s">
        <v>5</v>
      </c>
    </row>
    <row r="37" spans="1:8" x14ac:dyDescent="0.35">
      <c r="A37" t="s">
        <v>1889</v>
      </c>
      <c r="B37" t="s">
        <v>1890</v>
      </c>
      <c r="C37" t="s">
        <v>1891</v>
      </c>
      <c r="D37" t="s">
        <v>178</v>
      </c>
      <c r="E37" t="s">
        <v>4</v>
      </c>
      <c r="F37">
        <f>382/15</f>
        <v>25.466666666666665</v>
      </c>
      <c r="G37" t="s">
        <v>5</v>
      </c>
    </row>
    <row r="39" spans="1:8" x14ac:dyDescent="0.35">
      <c r="A39" t="s">
        <v>2076</v>
      </c>
      <c r="B39" t="s">
        <v>2077</v>
      </c>
      <c r="C39" t="s">
        <v>2078</v>
      </c>
      <c r="D39" t="s">
        <v>258</v>
      </c>
      <c r="E39" t="s">
        <v>4</v>
      </c>
      <c r="F39">
        <f>41/5</f>
        <v>8.1999999999999993</v>
      </c>
      <c r="G39" t="s">
        <v>10</v>
      </c>
    </row>
    <row r="41" spans="1:8" x14ac:dyDescent="0.35">
      <c r="A41" t="s">
        <v>2136</v>
      </c>
      <c r="B41" t="s">
        <v>29</v>
      </c>
      <c r="C41" t="s">
        <v>30</v>
      </c>
    </row>
    <row r="43" spans="1:8" x14ac:dyDescent="0.35">
      <c r="A43" t="s">
        <v>2296</v>
      </c>
      <c r="B43" t="s">
        <v>565</v>
      </c>
      <c r="C43" t="s">
        <v>1542</v>
      </c>
      <c r="D43" t="s">
        <v>79</v>
      </c>
      <c r="E43" t="s">
        <v>4</v>
      </c>
      <c r="F43">
        <f>492/10</f>
        <v>49.2</v>
      </c>
      <c r="G43" t="s">
        <v>5</v>
      </c>
    </row>
    <row r="45" spans="1:8" x14ac:dyDescent="0.35">
      <c r="A45" t="s">
        <v>2416</v>
      </c>
      <c r="B45" t="s">
        <v>811</v>
      </c>
      <c r="C45" t="s">
        <v>2417</v>
      </c>
      <c r="D45" t="s">
        <v>536</v>
      </c>
      <c r="E45" t="s">
        <v>4</v>
      </c>
      <c r="F45">
        <f>710/50</f>
        <v>14.2</v>
      </c>
      <c r="G45" t="s">
        <v>10</v>
      </c>
      <c r="H45" t="s">
        <v>2418</v>
      </c>
    </row>
    <row r="47" spans="1:8" x14ac:dyDescent="0.35">
      <c r="A47" t="s">
        <v>2518</v>
      </c>
      <c r="B47" t="s">
        <v>29</v>
      </c>
      <c r="C47" t="s">
        <v>30</v>
      </c>
    </row>
    <row r="49" spans="1:7" x14ac:dyDescent="0.35">
      <c r="A49" t="s">
        <v>2536</v>
      </c>
      <c r="B49" t="s">
        <v>2113</v>
      </c>
      <c r="C49" t="s">
        <v>2537</v>
      </c>
      <c r="D49" t="s">
        <v>536</v>
      </c>
      <c r="E49" t="s">
        <v>4</v>
      </c>
      <c r="F49">
        <f>350/50</f>
        <v>7</v>
      </c>
      <c r="G49" t="s">
        <v>10</v>
      </c>
    </row>
    <row r="51" spans="1:7" x14ac:dyDescent="0.35">
      <c r="A51" t="s">
        <v>2545</v>
      </c>
      <c r="B51" t="s">
        <v>2546</v>
      </c>
      <c r="C51" t="s">
        <v>2547</v>
      </c>
      <c r="D51" t="s">
        <v>2516</v>
      </c>
      <c r="E51" t="s">
        <v>4</v>
      </c>
      <c r="F51">
        <f>380/2.8</f>
        <v>135.71428571428572</v>
      </c>
      <c r="G51" t="s">
        <v>5</v>
      </c>
    </row>
    <row r="53" spans="1:7" x14ac:dyDescent="0.35">
      <c r="A53" t="s">
        <v>2626</v>
      </c>
      <c r="B53" t="s">
        <v>983</v>
      </c>
      <c r="C53" t="s">
        <v>2627</v>
      </c>
      <c r="D53" t="s">
        <v>840</v>
      </c>
      <c r="E53" t="s">
        <v>4</v>
      </c>
      <c r="F53">
        <f>50/0.5</f>
        <v>100</v>
      </c>
      <c r="G53" t="s">
        <v>5</v>
      </c>
    </row>
    <row r="55" spans="1:7" x14ac:dyDescent="0.35">
      <c r="A55" t="s">
        <v>2733</v>
      </c>
      <c r="B55" t="s">
        <v>2734</v>
      </c>
      <c r="C55" t="s">
        <v>2735</v>
      </c>
      <c r="D55" t="s">
        <v>536</v>
      </c>
      <c r="E55" t="s">
        <v>4</v>
      </c>
      <c r="F55">
        <f>1800/50</f>
        <v>36</v>
      </c>
      <c r="G55" t="s">
        <v>5</v>
      </c>
    </row>
    <row r="57" spans="1:7" x14ac:dyDescent="0.35">
      <c r="A57" t="s">
        <v>2925</v>
      </c>
      <c r="B57" t="s">
        <v>217</v>
      </c>
      <c r="C57" t="s">
        <v>945</v>
      </c>
      <c r="D57" t="s">
        <v>219</v>
      </c>
      <c r="E57" t="s">
        <v>4</v>
      </c>
      <c r="F57">
        <f>150/5.5</f>
        <v>27.272727272727273</v>
      </c>
      <c r="G57" t="s">
        <v>5</v>
      </c>
    </row>
    <row r="59" spans="1:7" x14ac:dyDescent="0.35">
      <c r="A59" t="s">
        <v>3145</v>
      </c>
      <c r="B59" t="s">
        <v>3146</v>
      </c>
      <c r="C59" t="s">
        <v>3147</v>
      </c>
      <c r="D59" t="s">
        <v>419</v>
      </c>
      <c r="E59" t="s">
        <v>4</v>
      </c>
      <c r="F59">
        <f>514/37</f>
        <v>13.891891891891891</v>
      </c>
      <c r="G59" t="s">
        <v>10</v>
      </c>
    </row>
    <row r="61" spans="1:7" x14ac:dyDescent="0.35">
      <c r="A61" t="s">
        <v>3280</v>
      </c>
      <c r="B61" t="s">
        <v>3281</v>
      </c>
      <c r="C61" t="s">
        <v>3282</v>
      </c>
      <c r="D61" t="s">
        <v>86</v>
      </c>
      <c r="E61" t="s">
        <v>4</v>
      </c>
      <c r="F61">
        <f>150/22</f>
        <v>6.8181818181818183</v>
      </c>
      <c r="G61" t="s">
        <v>10</v>
      </c>
    </row>
    <row r="63" spans="1:7" x14ac:dyDescent="0.35">
      <c r="A63" t="s">
        <v>3302</v>
      </c>
      <c r="B63" t="s">
        <v>3303</v>
      </c>
      <c r="C63" t="s">
        <v>2608</v>
      </c>
      <c r="D63" t="s">
        <v>280</v>
      </c>
      <c r="E63" t="s">
        <v>4</v>
      </c>
      <c r="F63">
        <f>600/20</f>
        <v>30</v>
      </c>
      <c r="G63" t="s">
        <v>5</v>
      </c>
    </row>
    <row r="65" spans="1:7" x14ac:dyDescent="0.35">
      <c r="A65" t="s">
        <v>3318</v>
      </c>
      <c r="B65" t="s">
        <v>1681</v>
      </c>
      <c r="C65" t="s">
        <v>3319</v>
      </c>
      <c r="D65" t="s">
        <v>178</v>
      </c>
      <c r="E65" t="s">
        <v>4</v>
      </c>
      <c r="F65">
        <f>300/15</f>
        <v>20</v>
      </c>
      <c r="G65" t="s">
        <v>10</v>
      </c>
    </row>
    <row r="67" spans="1:7" x14ac:dyDescent="0.35">
      <c r="A67" t="s">
        <v>3337</v>
      </c>
      <c r="B67" t="s">
        <v>3338</v>
      </c>
      <c r="C67" t="s">
        <v>3339</v>
      </c>
      <c r="D67" t="s">
        <v>86</v>
      </c>
      <c r="E67" t="s">
        <v>4</v>
      </c>
      <c r="F67">
        <f>894/22</f>
        <v>40.636363636363633</v>
      </c>
      <c r="G67" t="s">
        <v>5</v>
      </c>
    </row>
    <row r="69" spans="1:7" x14ac:dyDescent="0.35">
      <c r="A69" t="s">
        <v>3530</v>
      </c>
      <c r="B69" t="s">
        <v>1230</v>
      </c>
      <c r="C69" t="s">
        <v>3531</v>
      </c>
      <c r="D69" t="s">
        <v>144</v>
      </c>
      <c r="E69" t="s">
        <v>4</v>
      </c>
      <c r="F69">
        <f>1000/30</f>
        <v>33.333333333333336</v>
      </c>
      <c r="G69" t="s">
        <v>5</v>
      </c>
    </row>
    <row r="71" spans="1:7" x14ac:dyDescent="0.35">
      <c r="A71" t="s">
        <v>3616</v>
      </c>
      <c r="B71" t="s">
        <v>1046</v>
      </c>
      <c r="C71" t="s">
        <v>3617</v>
      </c>
      <c r="D71" t="s">
        <v>269</v>
      </c>
      <c r="E71" t="s">
        <v>4</v>
      </c>
      <c r="F71">
        <f>129/3</f>
        <v>43</v>
      </c>
      <c r="G71" t="s">
        <v>5</v>
      </c>
    </row>
    <row r="73" spans="1:7" x14ac:dyDescent="0.35">
      <c r="A73" t="s">
        <v>3624</v>
      </c>
      <c r="B73" t="s">
        <v>3625</v>
      </c>
      <c r="C73" t="s">
        <v>3626</v>
      </c>
      <c r="D73" t="s">
        <v>3627</v>
      </c>
      <c r="E73" t="s">
        <v>4</v>
      </c>
      <c r="F73">
        <f>265/330</f>
        <v>0.80303030303030298</v>
      </c>
      <c r="G73" t="s">
        <v>10</v>
      </c>
    </row>
    <row r="75" spans="1:7" x14ac:dyDescent="0.35">
      <c r="A75" t="s">
        <v>3976</v>
      </c>
      <c r="B75" t="s">
        <v>3074</v>
      </c>
      <c r="C75" t="s">
        <v>169</v>
      </c>
      <c r="D75" t="s">
        <v>3100</v>
      </c>
      <c r="E75" t="s">
        <v>4</v>
      </c>
      <c r="F75">
        <f>1172/75</f>
        <v>15.626666666666667</v>
      </c>
      <c r="G75" t="s">
        <v>10</v>
      </c>
    </row>
    <row r="77" spans="1:7" x14ac:dyDescent="0.35">
      <c r="A77" t="s">
        <v>3985</v>
      </c>
      <c r="B77" t="s">
        <v>3986</v>
      </c>
      <c r="C77" t="s">
        <v>3987</v>
      </c>
      <c r="D77" t="s">
        <v>59</v>
      </c>
      <c r="E77" t="s">
        <v>4</v>
      </c>
      <c r="F77">
        <f>1200/13</f>
        <v>92.307692307692307</v>
      </c>
      <c r="G77" t="s">
        <v>5</v>
      </c>
    </row>
    <row r="79" spans="1:7" x14ac:dyDescent="0.35">
      <c r="A79" t="s">
        <v>4154</v>
      </c>
      <c r="B79" t="s">
        <v>1744</v>
      </c>
      <c r="C79" t="s">
        <v>1223</v>
      </c>
      <c r="D79" t="s">
        <v>134</v>
      </c>
      <c r="E79" t="s">
        <v>4</v>
      </c>
      <c r="F79">
        <f>212/12</f>
        <v>17.666666666666668</v>
      </c>
      <c r="G79" t="s">
        <v>10</v>
      </c>
    </row>
    <row r="81" spans="1:7" x14ac:dyDescent="0.35">
      <c r="A81" t="s">
        <v>4212</v>
      </c>
      <c r="B81" t="s">
        <v>3731</v>
      </c>
      <c r="C81" t="s">
        <v>2540</v>
      </c>
      <c r="D81" t="s">
        <v>178</v>
      </c>
      <c r="E81" t="s">
        <v>4</v>
      </c>
      <c r="F81">
        <f>206/15</f>
        <v>13.733333333333333</v>
      </c>
      <c r="G81" t="s">
        <v>10</v>
      </c>
    </row>
    <row r="83" spans="1:7" x14ac:dyDescent="0.35">
      <c r="A83" t="s">
        <v>4213</v>
      </c>
      <c r="B83" t="s">
        <v>4214</v>
      </c>
      <c r="C83" t="s">
        <v>3934</v>
      </c>
      <c r="D83" t="s">
        <v>188</v>
      </c>
      <c r="E83" t="s">
        <v>4</v>
      </c>
      <c r="F83">
        <f>70/3.5</f>
        <v>20</v>
      </c>
      <c r="G83" t="s">
        <v>5</v>
      </c>
    </row>
    <row r="85" spans="1:7" x14ac:dyDescent="0.35">
      <c r="A85" t="s">
        <v>4251</v>
      </c>
      <c r="B85" t="s">
        <v>1694</v>
      </c>
      <c r="C85" t="s">
        <v>4252</v>
      </c>
      <c r="D85" t="s">
        <v>79</v>
      </c>
      <c r="E85" t="s">
        <v>4</v>
      </c>
      <c r="F85">
        <f>42/10</f>
        <v>4.2</v>
      </c>
      <c r="G85" t="s">
        <v>10</v>
      </c>
    </row>
    <row r="87" spans="1:7" x14ac:dyDescent="0.35">
      <c r="A87" t="s">
        <v>4284</v>
      </c>
      <c r="B87" t="s">
        <v>3994</v>
      </c>
      <c r="C87" t="s">
        <v>4285</v>
      </c>
      <c r="D87" t="s">
        <v>419</v>
      </c>
      <c r="E87" t="s">
        <v>4</v>
      </c>
      <c r="F87">
        <f>471/37</f>
        <v>12.72972972972973</v>
      </c>
      <c r="G87" t="s">
        <v>10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EAFA0-23D4-43EA-8F62-46C11B26FC83}">
  <dimension ref="A1:G55"/>
  <sheetViews>
    <sheetView topLeftCell="A28" workbookViewId="0">
      <selection activeCell="A57" sqref="A57"/>
    </sheetView>
  </sheetViews>
  <sheetFormatPr defaultRowHeight="14.5" x14ac:dyDescent="0.35"/>
  <cols>
    <col min="1" max="1" width="9.90625" bestFit="1" customWidth="1"/>
  </cols>
  <sheetData>
    <row r="1" spans="1:7" x14ac:dyDescent="0.35">
      <c r="A1" t="s">
        <v>197</v>
      </c>
      <c r="B1" t="s">
        <v>198</v>
      </c>
      <c r="C1" t="s">
        <v>199</v>
      </c>
      <c r="D1" t="s">
        <v>200</v>
      </c>
      <c r="E1" t="s">
        <v>4</v>
      </c>
      <c r="F1">
        <f>973/43</f>
        <v>22.627906976744185</v>
      </c>
      <c r="G1" t="s">
        <v>10</v>
      </c>
    </row>
    <row r="3" spans="1:7" x14ac:dyDescent="0.35">
      <c r="A3" t="s">
        <v>208</v>
      </c>
      <c r="B3" t="s">
        <v>29</v>
      </c>
      <c r="C3" t="s">
        <v>30</v>
      </c>
    </row>
    <row r="5" spans="1:7" x14ac:dyDescent="0.35">
      <c r="A5" t="s">
        <v>230</v>
      </c>
      <c r="B5" t="s">
        <v>231</v>
      </c>
      <c r="C5" t="s">
        <v>232</v>
      </c>
      <c r="D5" t="s">
        <v>122</v>
      </c>
      <c r="E5" t="s">
        <v>4</v>
      </c>
      <c r="F5">
        <f>218/16</f>
        <v>13.625</v>
      </c>
      <c r="G5" t="s">
        <v>10</v>
      </c>
    </row>
    <row r="7" spans="1:7" x14ac:dyDescent="0.35">
      <c r="A7" s="2" t="s">
        <v>256</v>
      </c>
      <c r="B7" s="2" t="s">
        <v>186</v>
      </c>
      <c r="C7" s="2" t="s">
        <v>257</v>
      </c>
      <c r="D7" s="2" t="s">
        <v>258</v>
      </c>
      <c r="E7" s="2" t="s">
        <v>4</v>
      </c>
      <c r="F7" s="2">
        <f>154/5</f>
        <v>30.8</v>
      </c>
      <c r="G7" s="2" t="s">
        <v>5</v>
      </c>
    </row>
    <row r="9" spans="1:7" x14ac:dyDescent="0.35">
      <c r="A9" t="s">
        <v>353</v>
      </c>
      <c r="B9" t="s">
        <v>354</v>
      </c>
      <c r="C9" t="s">
        <v>355</v>
      </c>
      <c r="D9" t="s">
        <v>356</v>
      </c>
      <c r="E9" t="s">
        <v>4</v>
      </c>
      <c r="F9">
        <f>465/59</f>
        <v>7.8813559322033901</v>
      </c>
      <c r="G9" t="s">
        <v>10</v>
      </c>
    </row>
    <row r="11" spans="1:7" x14ac:dyDescent="0.35">
      <c r="A11" t="s">
        <v>488</v>
      </c>
      <c r="B11" t="s">
        <v>489</v>
      </c>
      <c r="C11" t="s">
        <v>490</v>
      </c>
      <c r="D11" t="s">
        <v>366</v>
      </c>
      <c r="E11" t="s">
        <v>4</v>
      </c>
      <c r="F11">
        <f>197/14</f>
        <v>14.071428571428571</v>
      </c>
      <c r="G11" t="s">
        <v>10</v>
      </c>
    </row>
    <row r="13" spans="1:7" x14ac:dyDescent="0.35">
      <c r="A13" t="s">
        <v>578</v>
      </c>
      <c r="B13" t="s">
        <v>579</v>
      </c>
      <c r="C13" t="s">
        <v>580</v>
      </c>
      <c r="D13" t="s">
        <v>467</v>
      </c>
      <c r="E13" t="s">
        <v>4</v>
      </c>
      <c r="F13">
        <f>431/23</f>
        <v>18.739130434782609</v>
      </c>
      <c r="G13" t="s">
        <v>10</v>
      </c>
    </row>
    <row r="15" spans="1:7" x14ac:dyDescent="0.35">
      <c r="A15" t="s">
        <v>581</v>
      </c>
      <c r="B15" t="s">
        <v>582</v>
      </c>
      <c r="C15" t="s">
        <v>583</v>
      </c>
      <c r="D15" t="s">
        <v>178</v>
      </c>
      <c r="E15" t="s">
        <v>4</v>
      </c>
      <c r="F15">
        <f>250/15</f>
        <v>16.666666666666668</v>
      </c>
      <c r="G15" t="s">
        <v>10</v>
      </c>
    </row>
    <row r="17" spans="1:7" x14ac:dyDescent="0.35">
      <c r="A17" t="s">
        <v>584</v>
      </c>
      <c r="B17" t="s">
        <v>585</v>
      </c>
      <c r="C17" t="s">
        <v>586</v>
      </c>
      <c r="D17" t="s">
        <v>86</v>
      </c>
      <c r="E17" t="s">
        <v>4</v>
      </c>
      <c r="F17">
        <f>304/22</f>
        <v>13.818181818181818</v>
      </c>
      <c r="G17" t="s">
        <v>10</v>
      </c>
    </row>
    <row r="19" spans="1:7" x14ac:dyDescent="0.35">
      <c r="A19" t="s">
        <v>2380</v>
      </c>
      <c r="B19" t="s">
        <v>601</v>
      </c>
      <c r="C19" t="s">
        <v>602</v>
      </c>
      <c r="D19" t="s">
        <v>134</v>
      </c>
      <c r="E19" t="s">
        <v>4</v>
      </c>
      <c r="F19">
        <f>700/12</f>
        <v>58.333333333333336</v>
      </c>
      <c r="G19" t="s">
        <v>5</v>
      </c>
    </row>
    <row r="21" spans="1:7" x14ac:dyDescent="0.35">
      <c r="A21" t="s">
        <v>686</v>
      </c>
      <c r="B21" t="s">
        <v>687</v>
      </c>
      <c r="C21" t="s">
        <v>688</v>
      </c>
      <c r="D21" t="s">
        <v>51</v>
      </c>
      <c r="E21" t="s">
        <v>4</v>
      </c>
      <c r="F21">
        <f>2450/130</f>
        <v>18.846153846153847</v>
      </c>
      <c r="G21" t="s">
        <v>10</v>
      </c>
    </row>
    <row r="23" spans="1:7" x14ac:dyDescent="0.35">
      <c r="A23" s="2" t="s">
        <v>812</v>
      </c>
      <c r="B23" s="2" t="s">
        <v>813</v>
      </c>
      <c r="C23" s="2" t="s">
        <v>814</v>
      </c>
      <c r="D23" s="2" t="s">
        <v>815</v>
      </c>
      <c r="E23" s="2" t="s">
        <v>4</v>
      </c>
      <c r="F23" s="2">
        <f>720/32</f>
        <v>22.5</v>
      </c>
      <c r="G23" s="2" t="s">
        <v>5</v>
      </c>
    </row>
    <row r="25" spans="1:7" x14ac:dyDescent="0.35">
      <c r="A25" t="s">
        <v>899</v>
      </c>
      <c r="B25" t="s">
        <v>29</v>
      </c>
      <c r="C25" t="s">
        <v>900</v>
      </c>
      <c r="D25" t="s">
        <v>79</v>
      </c>
      <c r="E25" t="s">
        <v>4</v>
      </c>
      <c r="F25">
        <f>780/10</f>
        <v>78</v>
      </c>
      <c r="G25" t="s">
        <v>5</v>
      </c>
    </row>
    <row r="27" spans="1:7" x14ac:dyDescent="0.35">
      <c r="A27" t="s">
        <v>1209</v>
      </c>
      <c r="B27" t="s">
        <v>1210</v>
      </c>
      <c r="C27" t="s">
        <v>365</v>
      </c>
      <c r="D27" t="s">
        <v>192</v>
      </c>
      <c r="E27" t="s">
        <v>4</v>
      </c>
      <c r="F27">
        <f>234/11</f>
        <v>21.272727272727273</v>
      </c>
      <c r="G27" t="s">
        <v>5</v>
      </c>
    </row>
    <row r="29" spans="1:7" x14ac:dyDescent="0.35">
      <c r="A29" t="s">
        <v>1284</v>
      </c>
      <c r="B29" t="s">
        <v>1285</v>
      </c>
      <c r="C29" t="s">
        <v>30</v>
      </c>
      <c r="D29" t="s">
        <v>31</v>
      </c>
    </row>
    <row r="31" spans="1:7" x14ac:dyDescent="0.35">
      <c r="A31" t="s">
        <v>1506</v>
      </c>
      <c r="B31" t="s">
        <v>1507</v>
      </c>
      <c r="C31" t="s">
        <v>1508</v>
      </c>
      <c r="D31" t="s">
        <v>35</v>
      </c>
      <c r="E31" t="s">
        <v>4</v>
      </c>
      <c r="F31">
        <f>86/6</f>
        <v>14.333333333333334</v>
      </c>
      <c r="G31" t="s">
        <v>10</v>
      </c>
    </row>
    <row r="33" spans="1:7" x14ac:dyDescent="0.35">
      <c r="A33" t="s">
        <v>1531</v>
      </c>
      <c r="B33" t="s">
        <v>1532</v>
      </c>
      <c r="C33" t="s">
        <v>1533</v>
      </c>
      <c r="D33" t="s">
        <v>498</v>
      </c>
      <c r="E33" t="s">
        <v>4</v>
      </c>
      <c r="F33">
        <f>214/8</f>
        <v>26.75</v>
      </c>
      <c r="G33" t="s">
        <v>5</v>
      </c>
    </row>
    <row r="35" spans="1:7" x14ac:dyDescent="0.35">
      <c r="A35" t="s">
        <v>1811</v>
      </c>
      <c r="B35" t="s">
        <v>1812</v>
      </c>
      <c r="C35" t="s">
        <v>195</v>
      </c>
      <c r="D35" t="s">
        <v>677</v>
      </c>
      <c r="E35" t="s">
        <v>4</v>
      </c>
      <c r="F35">
        <f>199/9.5</f>
        <v>20.94736842105263</v>
      </c>
      <c r="G35" t="s">
        <v>5</v>
      </c>
    </row>
    <row r="37" spans="1:7" x14ac:dyDescent="0.35">
      <c r="A37" t="s">
        <v>1866</v>
      </c>
      <c r="B37" t="s">
        <v>114</v>
      </c>
      <c r="C37" t="s">
        <v>1867</v>
      </c>
      <c r="D37" t="s">
        <v>650</v>
      </c>
      <c r="E37" t="s">
        <v>4</v>
      </c>
      <c r="F37">
        <f>59/1.4</f>
        <v>42.142857142857146</v>
      </c>
      <c r="G37" t="s">
        <v>5</v>
      </c>
    </row>
    <row r="39" spans="1:7" x14ac:dyDescent="0.35">
      <c r="A39" t="s">
        <v>1979</v>
      </c>
      <c r="B39" t="s">
        <v>29</v>
      </c>
      <c r="C39" t="s">
        <v>1980</v>
      </c>
      <c r="D39" t="s">
        <v>79</v>
      </c>
      <c r="E39" t="s">
        <v>4</v>
      </c>
      <c r="F39">
        <f>163/10</f>
        <v>16.3</v>
      </c>
      <c r="G39" t="s">
        <v>10</v>
      </c>
    </row>
    <row r="41" spans="1:7" x14ac:dyDescent="0.35">
      <c r="A41" s="1" t="s">
        <v>2365</v>
      </c>
      <c r="B41" s="1" t="s">
        <v>1219</v>
      </c>
      <c r="C41" s="1" t="s">
        <v>2366</v>
      </c>
      <c r="D41" s="1" t="s">
        <v>419</v>
      </c>
      <c r="E41" s="1" t="s">
        <v>4</v>
      </c>
      <c r="F41" s="1">
        <f>437/37</f>
        <v>11.810810810810811</v>
      </c>
      <c r="G41" s="1" t="s">
        <v>10</v>
      </c>
    </row>
    <row r="43" spans="1:7" x14ac:dyDescent="0.35">
      <c r="A43" t="s">
        <v>2717</v>
      </c>
      <c r="B43" t="s">
        <v>2077</v>
      </c>
      <c r="C43" t="s">
        <v>616</v>
      </c>
      <c r="D43" t="s">
        <v>938</v>
      </c>
      <c r="E43" t="s">
        <v>4</v>
      </c>
      <c r="F43">
        <f>48/2.4</f>
        <v>20</v>
      </c>
      <c r="G43" t="s">
        <v>5</v>
      </c>
    </row>
    <row r="45" spans="1:7" x14ac:dyDescent="0.35">
      <c r="A45" t="s">
        <v>2794</v>
      </c>
      <c r="B45" t="s">
        <v>1694</v>
      </c>
      <c r="C45" t="s">
        <v>934</v>
      </c>
      <c r="D45" t="s">
        <v>387</v>
      </c>
      <c r="E45" t="s">
        <v>4</v>
      </c>
      <c r="F45">
        <f>250/7</f>
        <v>35.714285714285715</v>
      </c>
      <c r="G45" t="s">
        <v>5</v>
      </c>
    </row>
    <row r="47" spans="1:7" x14ac:dyDescent="0.35">
      <c r="A47" t="s">
        <v>2926</v>
      </c>
      <c r="B47" t="s">
        <v>98</v>
      </c>
      <c r="C47" t="s">
        <v>2927</v>
      </c>
      <c r="D47" t="s">
        <v>59</v>
      </c>
      <c r="E47" t="s">
        <v>4</v>
      </c>
      <c r="F47">
        <f>266/13</f>
        <v>20.46153846153846</v>
      </c>
      <c r="G47" t="s">
        <v>10</v>
      </c>
    </row>
    <row r="49" spans="1:7" x14ac:dyDescent="0.35">
      <c r="A49" t="s">
        <v>3473</v>
      </c>
      <c r="B49" t="s">
        <v>29</v>
      </c>
      <c r="C49" t="s">
        <v>3474</v>
      </c>
      <c r="D49" t="s">
        <v>258</v>
      </c>
      <c r="E49" t="s">
        <v>4</v>
      </c>
      <c r="F49">
        <f>500/5</f>
        <v>100</v>
      </c>
      <c r="G49" t="s">
        <v>5</v>
      </c>
    </row>
    <row r="51" spans="1:7" x14ac:dyDescent="0.35">
      <c r="A51" t="s">
        <v>4114</v>
      </c>
      <c r="B51" t="s">
        <v>2436</v>
      </c>
      <c r="C51" t="s">
        <v>96</v>
      </c>
      <c r="D51" t="s">
        <v>188</v>
      </c>
      <c r="E51" t="s">
        <v>4</v>
      </c>
      <c r="F51">
        <f>100/3.5</f>
        <v>28.571428571428573</v>
      </c>
      <c r="G51" t="s">
        <v>5</v>
      </c>
    </row>
    <row r="53" spans="1:7" x14ac:dyDescent="0.35">
      <c r="A53" t="s">
        <v>4122</v>
      </c>
      <c r="B53" t="s">
        <v>114</v>
      </c>
      <c r="C53" t="s">
        <v>1725</v>
      </c>
      <c r="D53" t="s">
        <v>157</v>
      </c>
      <c r="E53" t="s">
        <v>4</v>
      </c>
      <c r="F53">
        <f>171/2.7</f>
        <v>63.333333333333329</v>
      </c>
      <c r="G53" t="s">
        <v>5</v>
      </c>
    </row>
    <row r="55" spans="1:7" x14ac:dyDescent="0.35">
      <c r="A55" t="s">
        <v>4219</v>
      </c>
      <c r="B55" t="s">
        <v>2749</v>
      </c>
      <c r="C55" t="s">
        <v>4220</v>
      </c>
      <c r="D55" t="s">
        <v>192</v>
      </c>
      <c r="E55" t="s">
        <v>4</v>
      </c>
      <c r="F55">
        <f>126/11</f>
        <v>11.454545454545455</v>
      </c>
      <c r="G55" t="s">
        <v>10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6AAE-9F41-4591-A60D-673ADCB4E71B}">
  <dimension ref="A1:G32"/>
  <sheetViews>
    <sheetView topLeftCell="A5" workbookViewId="0">
      <selection activeCell="A34" sqref="A34"/>
    </sheetView>
  </sheetViews>
  <sheetFormatPr defaultRowHeight="14.5" x14ac:dyDescent="0.35"/>
  <sheetData>
    <row r="1" spans="1:7" x14ac:dyDescent="0.35">
      <c r="A1" s="2" t="s">
        <v>36</v>
      </c>
      <c r="B1" s="2" t="s">
        <v>37</v>
      </c>
      <c r="C1" s="2" t="s">
        <v>38</v>
      </c>
      <c r="D1" s="2" t="s">
        <v>39</v>
      </c>
      <c r="E1" s="2" t="s">
        <v>4</v>
      </c>
      <c r="F1" s="2">
        <f>3750/49</f>
        <v>76.530612244897952</v>
      </c>
      <c r="G1" s="2" t="s">
        <v>5</v>
      </c>
    </row>
    <row r="3" spans="1:7" x14ac:dyDescent="0.35">
      <c r="A3" s="2" t="s">
        <v>733</v>
      </c>
      <c r="B3" s="2" t="s">
        <v>734</v>
      </c>
      <c r="C3" s="2" t="s">
        <v>735</v>
      </c>
      <c r="D3" s="2" t="s">
        <v>23</v>
      </c>
      <c r="E3" s="2" t="s">
        <v>4</v>
      </c>
      <c r="F3" s="2">
        <f>591/21</f>
        <v>28.142857142857142</v>
      </c>
      <c r="G3" s="2" t="s">
        <v>5</v>
      </c>
    </row>
    <row r="5" spans="1:7" x14ac:dyDescent="0.35">
      <c r="A5" t="s">
        <v>965</v>
      </c>
      <c r="B5" t="s">
        <v>966</v>
      </c>
      <c r="C5" t="s">
        <v>967</v>
      </c>
      <c r="D5" t="s">
        <v>968</v>
      </c>
      <c r="E5" t="s">
        <v>4</v>
      </c>
      <c r="F5">
        <f>478/8.8</f>
        <v>54.318181818181813</v>
      </c>
      <c r="G5" t="s">
        <v>5</v>
      </c>
    </row>
    <row r="7" spans="1:7" x14ac:dyDescent="0.35">
      <c r="A7" t="s">
        <v>1040</v>
      </c>
      <c r="B7" t="s">
        <v>936</v>
      </c>
      <c r="C7" t="s">
        <v>1041</v>
      </c>
      <c r="D7" t="s">
        <v>380</v>
      </c>
      <c r="E7" t="s">
        <v>4</v>
      </c>
      <c r="F7">
        <f>125/2.2</f>
        <v>56.818181818181813</v>
      </c>
      <c r="G7" t="s">
        <v>5</v>
      </c>
    </row>
    <row r="9" spans="1:7" x14ac:dyDescent="0.35">
      <c r="A9" t="s">
        <v>2003</v>
      </c>
      <c r="B9" t="s">
        <v>2004</v>
      </c>
      <c r="C9" t="s">
        <v>1379</v>
      </c>
      <c r="D9" t="s">
        <v>366</v>
      </c>
      <c r="E9" t="s">
        <v>4</v>
      </c>
      <c r="F9">
        <f>196/14</f>
        <v>14</v>
      </c>
      <c r="G9" t="s">
        <v>10</v>
      </c>
    </row>
    <row r="11" spans="1:7" x14ac:dyDescent="0.35">
      <c r="A11" t="s">
        <v>2143</v>
      </c>
      <c r="B11" t="s">
        <v>2144</v>
      </c>
      <c r="C11" t="s">
        <v>595</v>
      </c>
      <c r="D11" t="s">
        <v>200</v>
      </c>
      <c r="E11" t="s">
        <v>4</v>
      </c>
      <c r="F11">
        <f>2120/43</f>
        <v>49.302325581395351</v>
      </c>
      <c r="G11" t="s">
        <v>5</v>
      </c>
    </row>
    <row r="13" spans="1:7" x14ac:dyDescent="0.35">
      <c r="A13" t="s">
        <v>2283</v>
      </c>
      <c r="B13" t="s">
        <v>2284</v>
      </c>
      <c r="C13" t="s">
        <v>2285</v>
      </c>
      <c r="D13" t="s">
        <v>321</v>
      </c>
      <c r="E13" t="s">
        <v>4</v>
      </c>
      <c r="F13">
        <f>4000/53</f>
        <v>75.471698113207552</v>
      </c>
      <c r="G13" t="s">
        <v>5</v>
      </c>
    </row>
    <row r="15" spans="1:7" x14ac:dyDescent="0.35">
      <c r="A15" t="s">
        <v>2397</v>
      </c>
      <c r="B15" t="s">
        <v>84</v>
      </c>
      <c r="C15" t="s">
        <v>2398</v>
      </c>
      <c r="D15" t="s">
        <v>79</v>
      </c>
      <c r="E15" t="s">
        <v>4</v>
      </c>
      <c r="F15">
        <f>292/10</f>
        <v>29.2</v>
      </c>
      <c r="G15" t="s">
        <v>5</v>
      </c>
    </row>
    <row r="17" spans="1:7" x14ac:dyDescent="0.35">
      <c r="A17" t="s">
        <v>2462</v>
      </c>
      <c r="B17" t="s">
        <v>29</v>
      </c>
    </row>
    <row r="19" spans="1:7" x14ac:dyDescent="0.35">
      <c r="A19" t="s">
        <v>2538</v>
      </c>
      <c r="B19" t="s">
        <v>2539</v>
      </c>
      <c r="C19" t="s">
        <v>2540</v>
      </c>
      <c r="D19" t="s">
        <v>79</v>
      </c>
      <c r="E19" t="s">
        <v>4</v>
      </c>
      <c r="F19">
        <f>321/10</f>
        <v>32.1</v>
      </c>
      <c r="G19" t="s">
        <v>5</v>
      </c>
    </row>
    <row r="21" spans="1:7" x14ac:dyDescent="0.35">
      <c r="A21" t="s">
        <v>2756</v>
      </c>
      <c r="B21" t="s">
        <v>2757</v>
      </c>
      <c r="C21" t="s">
        <v>2758</v>
      </c>
      <c r="D21" t="s">
        <v>2759</v>
      </c>
      <c r="E21" t="s">
        <v>4</v>
      </c>
      <c r="F21">
        <f>275/0.8</f>
        <v>343.75</v>
      </c>
      <c r="G21" t="s">
        <v>5</v>
      </c>
    </row>
    <row r="23" spans="1:7" x14ac:dyDescent="0.35">
      <c r="A23" t="s">
        <v>2963</v>
      </c>
      <c r="B23" t="s">
        <v>2964</v>
      </c>
      <c r="C23" t="s">
        <v>2965</v>
      </c>
      <c r="D23" t="s">
        <v>116</v>
      </c>
      <c r="E23" t="s">
        <v>4</v>
      </c>
      <c r="F23">
        <f>106/2.5</f>
        <v>42.4</v>
      </c>
      <c r="G23" t="s">
        <v>5</v>
      </c>
    </row>
    <row r="25" spans="1:7" x14ac:dyDescent="0.35">
      <c r="A25" t="s">
        <v>3442</v>
      </c>
      <c r="B25" t="s">
        <v>2964</v>
      </c>
      <c r="C25" t="s">
        <v>3443</v>
      </c>
      <c r="D25" t="s">
        <v>269</v>
      </c>
      <c r="E25" t="s">
        <v>4</v>
      </c>
      <c r="F25">
        <f>473/3</f>
        <v>157.66666666666666</v>
      </c>
      <c r="G25" t="s">
        <v>5</v>
      </c>
    </row>
    <row r="26" spans="1:7" x14ac:dyDescent="0.35">
      <c r="D26" t="s">
        <v>3444</v>
      </c>
      <c r="F26">
        <f>473/6</f>
        <v>78.833333333333329</v>
      </c>
      <c r="G26" t="s">
        <v>5</v>
      </c>
    </row>
    <row r="28" spans="1:7" x14ac:dyDescent="0.35">
      <c r="A28" t="s">
        <v>3715</v>
      </c>
      <c r="B28" t="s">
        <v>1507</v>
      </c>
      <c r="C28" t="s">
        <v>218</v>
      </c>
      <c r="D28" t="s">
        <v>219</v>
      </c>
      <c r="E28" t="s">
        <v>4</v>
      </c>
      <c r="F28">
        <f>299/5.5</f>
        <v>54.363636363636367</v>
      </c>
      <c r="G28" t="s">
        <v>5</v>
      </c>
    </row>
    <row r="30" spans="1:7" x14ac:dyDescent="0.35">
      <c r="A30" t="s">
        <v>3981</v>
      </c>
      <c r="B30" t="s">
        <v>514</v>
      </c>
      <c r="C30" t="s">
        <v>945</v>
      </c>
      <c r="D30" t="s">
        <v>258</v>
      </c>
      <c r="E30" t="s">
        <v>4</v>
      </c>
      <c r="F30">
        <f>112/5</f>
        <v>22.4</v>
      </c>
      <c r="G30" t="s">
        <v>5</v>
      </c>
    </row>
    <row r="32" spans="1:7" x14ac:dyDescent="0.35">
      <c r="A32" t="s">
        <v>4178</v>
      </c>
      <c r="B32" t="s">
        <v>29</v>
      </c>
      <c r="C32" t="s">
        <v>30</v>
      </c>
      <c r="D32" t="s">
        <v>31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opLeftCell="A9" workbookViewId="0">
      <selection activeCell="F38" sqref="F38"/>
    </sheetView>
  </sheetViews>
  <sheetFormatPr defaultRowHeight="14.5" x14ac:dyDescent="0.35"/>
  <sheetData>
    <row r="1" spans="1:7" x14ac:dyDescent="0.35">
      <c r="A1" t="s">
        <v>6</v>
      </c>
      <c r="B1" t="s">
        <v>7</v>
      </c>
      <c r="C1" t="s">
        <v>8</v>
      </c>
      <c r="D1" t="s">
        <v>9</v>
      </c>
      <c r="E1" t="s">
        <v>4</v>
      </c>
      <c r="F1">
        <f>1000/65</f>
        <v>15.384615384615385</v>
      </c>
      <c r="G1" t="s">
        <v>10</v>
      </c>
    </row>
    <row r="3" spans="1:7" x14ac:dyDescent="0.35">
      <c r="A3" s="2" t="s">
        <v>24</v>
      </c>
      <c r="B3" s="2" t="s">
        <v>25</v>
      </c>
      <c r="C3" s="2" t="s">
        <v>26</v>
      </c>
      <c r="D3" s="2" t="s">
        <v>27</v>
      </c>
      <c r="E3" s="2" t="s">
        <v>4</v>
      </c>
      <c r="F3" s="2">
        <f>1058/38</f>
        <v>27.842105263157894</v>
      </c>
      <c r="G3" s="2" t="s">
        <v>5</v>
      </c>
    </row>
    <row r="5" spans="1:7" x14ac:dyDescent="0.35">
      <c r="A5" t="s">
        <v>567</v>
      </c>
      <c r="B5" t="s">
        <v>568</v>
      </c>
      <c r="C5" t="s">
        <v>569</v>
      </c>
      <c r="D5" t="s">
        <v>164</v>
      </c>
      <c r="E5" t="s">
        <v>4</v>
      </c>
      <c r="F5">
        <f>1325/25</f>
        <v>53</v>
      </c>
      <c r="G5" t="s">
        <v>5</v>
      </c>
    </row>
    <row r="7" spans="1:7" x14ac:dyDescent="0.35">
      <c r="A7" t="s">
        <v>587</v>
      </c>
      <c r="B7" t="s">
        <v>588</v>
      </c>
      <c r="C7" t="s">
        <v>589</v>
      </c>
      <c r="D7" t="s">
        <v>178</v>
      </c>
      <c r="E7" t="s">
        <v>4</v>
      </c>
      <c r="F7">
        <f>580/15</f>
        <v>38.666666666666664</v>
      </c>
      <c r="G7" t="s">
        <v>5</v>
      </c>
    </row>
    <row r="9" spans="1:7" x14ac:dyDescent="0.35">
      <c r="A9" t="s">
        <v>744</v>
      </c>
      <c r="B9" t="s">
        <v>745</v>
      </c>
      <c r="C9" t="s">
        <v>746</v>
      </c>
      <c r="D9" t="s">
        <v>265</v>
      </c>
      <c r="E9" t="s">
        <v>4</v>
      </c>
      <c r="F9">
        <f>2950/45</f>
        <v>65.555555555555557</v>
      </c>
      <c r="G9" t="s">
        <v>5</v>
      </c>
    </row>
    <row r="11" spans="1:7" x14ac:dyDescent="0.35">
      <c r="A11" t="s">
        <v>1353</v>
      </c>
      <c r="B11" t="s">
        <v>1354</v>
      </c>
      <c r="C11" t="s">
        <v>1355</v>
      </c>
      <c r="D11" t="s">
        <v>366</v>
      </c>
      <c r="E11" t="s">
        <v>4</v>
      </c>
      <c r="F11">
        <f>236/14</f>
        <v>16.857142857142858</v>
      </c>
      <c r="G11" t="s">
        <v>10</v>
      </c>
    </row>
    <row r="13" spans="1:7" x14ac:dyDescent="0.35">
      <c r="A13" t="s">
        <v>1492</v>
      </c>
      <c r="B13" t="s">
        <v>73</v>
      </c>
      <c r="C13" t="s">
        <v>308</v>
      </c>
      <c r="D13" t="s">
        <v>309</v>
      </c>
      <c r="E13" t="s">
        <v>4</v>
      </c>
      <c r="F13">
        <f>320/17</f>
        <v>18.823529411764707</v>
      </c>
      <c r="G13" t="s">
        <v>10</v>
      </c>
    </row>
    <row r="15" spans="1:7" x14ac:dyDescent="0.35">
      <c r="A15" t="s">
        <v>1501</v>
      </c>
      <c r="B15" t="s">
        <v>1502</v>
      </c>
      <c r="C15" t="s">
        <v>1404</v>
      </c>
      <c r="D15" t="s">
        <v>1408</v>
      </c>
      <c r="E15" t="s">
        <v>4</v>
      </c>
      <c r="F15">
        <f>456/9.4</f>
        <v>48.51063829787234</v>
      </c>
      <c r="G15" t="s">
        <v>5</v>
      </c>
    </row>
    <row r="17" spans="1:7" x14ac:dyDescent="0.35">
      <c r="A17" t="s">
        <v>1658</v>
      </c>
      <c r="B17" t="s">
        <v>1596</v>
      </c>
      <c r="C17" t="s">
        <v>1659</v>
      </c>
      <c r="D17" t="s">
        <v>1660</v>
      </c>
      <c r="E17" t="s">
        <v>4</v>
      </c>
      <c r="F17">
        <f>2036/88</f>
        <v>23.136363636363637</v>
      </c>
      <c r="G17" t="s">
        <v>10</v>
      </c>
    </row>
    <row r="19" spans="1:7" x14ac:dyDescent="0.35">
      <c r="A19" t="s">
        <v>1665</v>
      </c>
      <c r="B19" t="s">
        <v>1666</v>
      </c>
      <c r="C19" t="s">
        <v>477</v>
      </c>
      <c r="D19" t="s">
        <v>536</v>
      </c>
      <c r="E19" t="s">
        <v>4</v>
      </c>
      <c r="F19">
        <f>1300/50</f>
        <v>26</v>
      </c>
      <c r="G19" t="s">
        <v>5</v>
      </c>
    </row>
    <row r="21" spans="1:7" x14ac:dyDescent="0.35">
      <c r="A21" t="s">
        <v>2378</v>
      </c>
      <c r="B21" t="s">
        <v>2379</v>
      </c>
      <c r="C21" t="s">
        <v>1053</v>
      </c>
      <c r="D21" t="s">
        <v>536</v>
      </c>
      <c r="E21" t="s">
        <v>4</v>
      </c>
      <c r="F21">
        <f>890/50</f>
        <v>17.8</v>
      </c>
      <c r="G21" t="s">
        <v>10</v>
      </c>
    </row>
    <row r="23" spans="1:7" x14ac:dyDescent="0.35">
      <c r="A23" t="s">
        <v>2440</v>
      </c>
      <c r="B23" t="s">
        <v>65</v>
      </c>
      <c r="C23" t="s">
        <v>243</v>
      </c>
      <c r="D23" t="s">
        <v>269</v>
      </c>
      <c r="E23" t="s">
        <v>4</v>
      </c>
      <c r="F23">
        <f>188/3</f>
        <v>62.666666666666664</v>
      </c>
      <c r="G23" t="s">
        <v>5</v>
      </c>
    </row>
    <row r="25" spans="1:7" x14ac:dyDescent="0.35">
      <c r="A25" t="s">
        <v>2961</v>
      </c>
      <c r="B25" t="s">
        <v>2151</v>
      </c>
      <c r="C25" t="s">
        <v>2962</v>
      </c>
      <c r="D25" t="s">
        <v>309</v>
      </c>
      <c r="E25" t="s">
        <v>4</v>
      </c>
      <c r="F25">
        <f>135/17</f>
        <v>7.9411764705882355</v>
      </c>
      <c r="G25" t="s">
        <v>10</v>
      </c>
    </row>
    <row r="27" spans="1:7" x14ac:dyDescent="0.35">
      <c r="A27" t="s">
        <v>3322</v>
      </c>
      <c r="B27" t="s">
        <v>124</v>
      </c>
      <c r="C27" t="s">
        <v>1814</v>
      </c>
      <c r="D27" t="s">
        <v>89</v>
      </c>
      <c r="E27" t="s">
        <v>4</v>
      </c>
      <c r="F27">
        <f>96/4</f>
        <v>24</v>
      </c>
      <c r="G27" t="s">
        <v>5</v>
      </c>
    </row>
    <row r="29" spans="1:7" x14ac:dyDescent="0.35">
      <c r="A29" t="s">
        <v>3370</v>
      </c>
      <c r="B29" t="s">
        <v>132</v>
      </c>
      <c r="C29" t="s">
        <v>3371</v>
      </c>
      <c r="D29" t="s">
        <v>122</v>
      </c>
      <c r="E29" t="s">
        <v>4</v>
      </c>
      <c r="F29">
        <f>1620/16</f>
        <v>101.25</v>
      </c>
      <c r="G29" t="s">
        <v>5</v>
      </c>
    </row>
    <row r="31" spans="1:7" x14ac:dyDescent="0.35">
      <c r="A31" t="s">
        <v>3935</v>
      </c>
      <c r="B31" t="s">
        <v>3936</v>
      </c>
      <c r="C31" t="s">
        <v>3937</v>
      </c>
      <c r="D31" t="s">
        <v>79</v>
      </c>
      <c r="E31" t="s">
        <v>4</v>
      </c>
      <c r="F31">
        <f>67/10</f>
        <v>6.7</v>
      </c>
      <c r="G31" t="s">
        <v>10</v>
      </c>
    </row>
    <row r="33" spans="1:7" x14ac:dyDescent="0.35">
      <c r="A33" t="s">
        <v>4012</v>
      </c>
      <c r="B33" t="s">
        <v>2833</v>
      </c>
      <c r="C33" t="s">
        <v>4013</v>
      </c>
      <c r="D33" t="s">
        <v>134</v>
      </c>
      <c r="E33" t="s">
        <v>4</v>
      </c>
      <c r="F33">
        <f>166/12</f>
        <v>13.833333333333334</v>
      </c>
      <c r="G33" t="s">
        <v>10</v>
      </c>
    </row>
    <row r="35" spans="1:7" x14ac:dyDescent="0.35">
      <c r="A35" t="s">
        <v>4136</v>
      </c>
      <c r="B35" t="s">
        <v>29</v>
      </c>
      <c r="C35" t="s">
        <v>2965</v>
      </c>
      <c r="D35" t="s">
        <v>35</v>
      </c>
      <c r="E35" t="s">
        <v>4</v>
      </c>
      <c r="F35">
        <f>450/6</f>
        <v>75</v>
      </c>
    </row>
    <row r="36" spans="1:7" x14ac:dyDescent="0.35">
      <c r="D36" t="s">
        <v>4137</v>
      </c>
      <c r="F36">
        <f>450/16</f>
        <v>28.125</v>
      </c>
      <c r="G36" t="s">
        <v>10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9A56E-19E2-4DEA-9E01-D69BE929B67D}">
  <dimension ref="A1:G39"/>
  <sheetViews>
    <sheetView topLeftCell="A12" workbookViewId="0">
      <selection activeCell="A41" sqref="A41"/>
    </sheetView>
  </sheetViews>
  <sheetFormatPr defaultRowHeight="14.5" x14ac:dyDescent="0.35"/>
  <sheetData>
    <row r="1" spans="1:7" x14ac:dyDescent="0.35">
      <c r="A1" t="s">
        <v>533</v>
      </c>
      <c r="B1" t="s">
        <v>534</v>
      </c>
      <c r="C1" t="s">
        <v>535</v>
      </c>
      <c r="D1" t="s">
        <v>536</v>
      </c>
      <c r="E1" t="s">
        <v>4</v>
      </c>
      <c r="F1">
        <f>1114/50</f>
        <v>22.28</v>
      </c>
      <c r="G1" t="s">
        <v>10</v>
      </c>
    </row>
    <row r="3" spans="1:7" x14ac:dyDescent="0.35">
      <c r="A3" t="s">
        <v>693</v>
      </c>
      <c r="B3" t="s">
        <v>694</v>
      </c>
      <c r="C3" t="s">
        <v>30</v>
      </c>
      <c r="D3" t="s">
        <v>695</v>
      </c>
      <c r="E3" t="s">
        <v>4</v>
      </c>
      <c r="F3">
        <f>80/2</f>
        <v>40</v>
      </c>
      <c r="G3" t="s">
        <v>5</v>
      </c>
    </row>
    <row r="5" spans="1:7" x14ac:dyDescent="0.35">
      <c r="A5" t="s">
        <v>1567</v>
      </c>
      <c r="B5" t="s">
        <v>734</v>
      </c>
      <c r="C5" t="s">
        <v>1231</v>
      </c>
      <c r="D5" t="s">
        <v>229</v>
      </c>
      <c r="E5" t="s">
        <v>4</v>
      </c>
      <c r="F5">
        <f>277/31</f>
        <v>8.935483870967742</v>
      </c>
      <c r="G5" t="s">
        <v>10</v>
      </c>
    </row>
    <row r="7" spans="1:7" x14ac:dyDescent="0.35">
      <c r="A7" t="s">
        <v>1938</v>
      </c>
      <c r="B7" t="s">
        <v>231</v>
      </c>
      <c r="C7" t="s">
        <v>945</v>
      </c>
      <c r="D7" t="s">
        <v>387</v>
      </c>
      <c r="E7" t="s">
        <v>4</v>
      </c>
      <c r="F7">
        <f>116/7</f>
        <v>16.571428571428573</v>
      </c>
      <c r="G7" t="s">
        <v>10</v>
      </c>
    </row>
    <row r="9" spans="1:7" x14ac:dyDescent="0.35">
      <c r="A9" t="s">
        <v>2101</v>
      </c>
      <c r="B9" t="s">
        <v>227</v>
      </c>
      <c r="C9" t="s">
        <v>2102</v>
      </c>
      <c r="D9" t="s">
        <v>280</v>
      </c>
      <c r="E9" t="s">
        <v>4</v>
      </c>
      <c r="F9">
        <f>400/20</f>
        <v>20</v>
      </c>
      <c r="G9" t="s">
        <v>5</v>
      </c>
    </row>
    <row r="11" spans="1:7" x14ac:dyDescent="0.35">
      <c r="A11" t="s">
        <v>2438</v>
      </c>
      <c r="B11" t="s">
        <v>1689</v>
      </c>
      <c r="C11" t="s">
        <v>2439</v>
      </c>
      <c r="D11" t="s">
        <v>502</v>
      </c>
      <c r="E11" t="s">
        <v>4</v>
      </c>
      <c r="F11">
        <f>3590/115</f>
        <v>31.217391304347824</v>
      </c>
      <c r="G11" t="s">
        <v>5</v>
      </c>
    </row>
    <row r="13" spans="1:7" x14ac:dyDescent="0.35">
      <c r="A13" t="s">
        <v>2483</v>
      </c>
      <c r="B13" t="s">
        <v>2484</v>
      </c>
      <c r="C13" t="s">
        <v>1020</v>
      </c>
      <c r="D13" t="s">
        <v>536</v>
      </c>
      <c r="E13" t="s">
        <v>4</v>
      </c>
      <c r="F13">
        <f>447/50</f>
        <v>8.94</v>
      </c>
      <c r="G13" t="s">
        <v>10</v>
      </c>
    </row>
    <row r="15" spans="1:7" x14ac:dyDescent="0.35">
      <c r="A15" t="s">
        <v>2695</v>
      </c>
      <c r="B15" t="s">
        <v>2696</v>
      </c>
      <c r="C15" t="s">
        <v>2697</v>
      </c>
      <c r="D15" t="s">
        <v>613</v>
      </c>
      <c r="E15" t="s">
        <v>4</v>
      </c>
      <c r="F15">
        <f>348/40</f>
        <v>8.6999999999999993</v>
      </c>
      <c r="G15" t="s">
        <v>10</v>
      </c>
    </row>
    <row r="17" spans="1:7" x14ac:dyDescent="0.35">
      <c r="A17" t="s">
        <v>2895</v>
      </c>
      <c r="B17" t="s">
        <v>2896</v>
      </c>
      <c r="C17" t="s">
        <v>2897</v>
      </c>
      <c r="D17" t="s">
        <v>974</v>
      </c>
      <c r="E17" t="s">
        <v>4</v>
      </c>
      <c r="F17">
        <f>305/41</f>
        <v>7.4390243902439028</v>
      </c>
      <c r="G17" t="s">
        <v>10</v>
      </c>
    </row>
    <row r="19" spans="1:7" x14ac:dyDescent="0.35">
      <c r="A19" t="s">
        <v>2956</v>
      </c>
      <c r="B19" t="s">
        <v>944</v>
      </c>
      <c r="C19" t="s">
        <v>1803</v>
      </c>
      <c r="D19" t="s">
        <v>2957</v>
      </c>
      <c r="E19" t="s">
        <v>4</v>
      </c>
      <c r="F19">
        <f>31/4.2</f>
        <v>7.3809523809523805</v>
      </c>
      <c r="G19" t="s">
        <v>10</v>
      </c>
    </row>
    <row r="21" spans="1:7" x14ac:dyDescent="0.35">
      <c r="A21" t="s">
        <v>3240</v>
      </c>
      <c r="B21" t="s">
        <v>3241</v>
      </c>
      <c r="C21" t="s">
        <v>2829</v>
      </c>
      <c r="D21" t="s">
        <v>86</v>
      </c>
      <c r="E21" t="s">
        <v>4</v>
      </c>
      <c r="F21">
        <f>460/22</f>
        <v>20.90909090909091</v>
      </c>
      <c r="G21" t="s">
        <v>5</v>
      </c>
    </row>
    <row r="23" spans="1:7" x14ac:dyDescent="0.35">
      <c r="A23" t="s">
        <v>3255</v>
      </c>
      <c r="B23" t="s">
        <v>3256</v>
      </c>
      <c r="C23" t="s">
        <v>973</v>
      </c>
      <c r="D23" t="s">
        <v>772</v>
      </c>
      <c r="E23" t="s">
        <v>4</v>
      </c>
      <c r="F23">
        <f>1000/44</f>
        <v>22.727272727272727</v>
      </c>
      <c r="G23" t="s">
        <v>10</v>
      </c>
    </row>
    <row r="25" spans="1:7" x14ac:dyDescent="0.35">
      <c r="A25" t="s">
        <v>3273</v>
      </c>
      <c r="B25" t="s">
        <v>2402</v>
      </c>
      <c r="C25" t="s">
        <v>2404</v>
      </c>
      <c r="D25" t="s">
        <v>35</v>
      </c>
      <c r="E25" t="s">
        <v>4</v>
      </c>
      <c r="F25">
        <f>25/6</f>
        <v>4.166666666666667</v>
      </c>
      <c r="G25" t="s">
        <v>10</v>
      </c>
    </row>
    <row r="27" spans="1:7" x14ac:dyDescent="0.35">
      <c r="A27" t="s">
        <v>3284</v>
      </c>
      <c r="B27" t="s">
        <v>3285</v>
      </c>
      <c r="C27" t="s">
        <v>3286</v>
      </c>
      <c r="D27" t="s">
        <v>134</v>
      </c>
      <c r="E27" t="s">
        <v>4</v>
      </c>
      <c r="F27">
        <f>145/12</f>
        <v>12.083333333333334</v>
      </c>
      <c r="G27" t="s">
        <v>10</v>
      </c>
    </row>
    <row r="29" spans="1:7" x14ac:dyDescent="0.35">
      <c r="A29" t="s">
        <v>3725</v>
      </c>
      <c r="B29" t="s">
        <v>29</v>
      </c>
      <c r="C29" t="s">
        <v>998</v>
      </c>
    </row>
    <row r="31" spans="1:7" x14ac:dyDescent="0.35">
      <c r="A31" t="s">
        <v>3844</v>
      </c>
      <c r="B31" t="s">
        <v>2719</v>
      </c>
      <c r="C31" t="s">
        <v>3845</v>
      </c>
      <c r="D31" t="s">
        <v>164</v>
      </c>
      <c r="E31" t="s">
        <v>4</v>
      </c>
      <c r="F31">
        <f>221/25</f>
        <v>8.84</v>
      </c>
      <c r="G31" t="s">
        <v>10</v>
      </c>
    </row>
    <row r="33" spans="1:7" x14ac:dyDescent="0.35">
      <c r="A33" t="s">
        <v>3867</v>
      </c>
      <c r="B33" t="s">
        <v>3008</v>
      </c>
      <c r="C33" t="s">
        <v>3472</v>
      </c>
      <c r="D33" t="s">
        <v>141</v>
      </c>
      <c r="E33" t="s">
        <v>4</v>
      </c>
      <c r="F33">
        <f>909/68</f>
        <v>13.367647058823529</v>
      </c>
      <c r="G33" t="s">
        <v>10</v>
      </c>
    </row>
    <row r="35" spans="1:7" x14ac:dyDescent="0.35">
      <c r="A35" t="s">
        <v>3944</v>
      </c>
      <c r="B35" t="s">
        <v>1319</v>
      </c>
      <c r="C35" t="s">
        <v>3081</v>
      </c>
      <c r="D35" t="s">
        <v>258</v>
      </c>
      <c r="E35" t="s">
        <v>4</v>
      </c>
      <c r="F35">
        <f>38/5</f>
        <v>7.6</v>
      </c>
      <c r="G35" t="s">
        <v>10</v>
      </c>
    </row>
    <row r="37" spans="1:7" x14ac:dyDescent="0.35">
      <c r="A37" t="s">
        <v>3952</v>
      </c>
      <c r="B37" t="s">
        <v>1916</v>
      </c>
      <c r="C37" t="s">
        <v>2504</v>
      </c>
      <c r="D37" t="s">
        <v>498</v>
      </c>
      <c r="E37" t="s">
        <v>4</v>
      </c>
      <c r="F37">
        <f>1125/8</f>
        <v>140.625</v>
      </c>
      <c r="G37" t="s">
        <v>5</v>
      </c>
    </row>
    <row r="39" spans="1:7" x14ac:dyDescent="0.35">
      <c r="A39" t="s">
        <v>4099</v>
      </c>
      <c r="B39" t="s">
        <v>4100</v>
      </c>
      <c r="C39" t="s">
        <v>4101</v>
      </c>
      <c r="D39" t="s">
        <v>4102</v>
      </c>
      <c r="E39" t="s">
        <v>4</v>
      </c>
      <c r="F39">
        <f>17/1.9</f>
        <v>8.9473684210526319</v>
      </c>
      <c r="G39" t="s">
        <v>10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B7373-639D-4FF0-AAC4-5C29789FA936}">
  <dimension ref="A1:G23"/>
  <sheetViews>
    <sheetView workbookViewId="0">
      <selection activeCell="A25" sqref="A25"/>
    </sheetView>
  </sheetViews>
  <sheetFormatPr defaultRowHeight="14.5" x14ac:dyDescent="0.35"/>
  <sheetData>
    <row r="1" spans="1:7" x14ac:dyDescent="0.35">
      <c r="A1" t="s">
        <v>1177</v>
      </c>
      <c r="B1" t="s">
        <v>1178</v>
      </c>
      <c r="C1" t="s">
        <v>1023</v>
      </c>
      <c r="D1" t="s">
        <v>258</v>
      </c>
      <c r="E1" t="s">
        <v>4</v>
      </c>
      <c r="F1">
        <f>148/5</f>
        <v>29.6</v>
      </c>
      <c r="G1" t="s">
        <v>5</v>
      </c>
    </row>
    <row r="3" spans="1:7" x14ac:dyDescent="0.35">
      <c r="A3" t="s">
        <v>2327</v>
      </c>
      <c r="B3" t="s">
        <v>1557</v>
      </c>
      <c r="C3" t="s">
        <v>2328</v>
      </c>
      <c r="D3" t="s">
        <v>819</v>
      </c>
      <c r="E3" t="s">
        <v>4</v>
      </c>
      <c r="F3">
        <f>1000/29</f>
        <v>34.482758620689658</v>
      </c>
      <c r="G3" t="s">
        <v>5</v>
      </c>
    </row>
    <row r="5" spans="1:7" x14ac:dyDescent="0.35">
      <c r="A5" t="s">
        <v>2395</v>
      </c>
      <c r="B5" t="s">
        <v>601</v>
      </c>
      <c r="C5" t="s">
        <v>2396</v>
      </c>
      <c r="D5" t="s">
        <v>59</v>
      </c>
      <c r="E5" t="s">
        <v>4</v>
      </c>
      <c r="F5">
        <f>154/13</f>
        <v>11.846153846153847</v>
      </c>
      <c r="G5" t="s">
        <v>10</v>
      </c>
    </row>
    <row r="7" spans="1:7" x14ac:dyDescent="0.35">
      <c r="A7" t="s">
        <v>2686</v>
      </c>
      <c r="B7" t="s">
        <v>2687</v>
      </c>
      <c r="C7" t="s">
        <v>2688</v>
      </c>
      <c r="D7" t="s">
        <v>834</v>
      </c>
      <c r="E7" t="s">
        <v>4</v>
      </c>
      <c r="F7">
        <f>490/47</f>
        <v>10.425531914893616</v>
      </c>
      <c r="G7" t="s">
        <v>10</v>
      </c>
    </row>
    <row r="9" spans="1:7" x14ac:dyDescent="0.35">
      <c r="A9" t="s">
        <v>2866</v>
      </c>
      <c r="B9" t="s">
        <v>402</v>
      </c>
      <c r="C9" t="s">
        <v>2867</v>
      </c>
      <c r="D9" t="s">
        <v>144</v>
      </c>
      <c r="E9" t="s">
        <v>4</v>
      </c>
      <c r="F9">
        <f>165/30</f>
        <v>5.5</v>
      </c>
      <c r="G9" t="s">
        <v>10</v>
      </c>
    </row>
    <row r="11" spans="1:7" x14ac:dyDescent="0.35">
      <c r="A11" t="s">
        <v>3064</v>
      </c>
      <c r="B11" t="s">
        <v>683</v>
      </c>
      <c r="C11" t="s">
        <v>3065</v>
      </c>
      <c r="D11" t="s">
        <v>178</v>
      </c>
      <c r="E11" t="s">
        <v>4</v>
      </c>
      <c r="F11">
        <f>159/15</f>
        <v>10.6</v>
      </c>
      <c r="G11" t="s">
        <v>10</v>
      </c>
    </row>
    <row r="13" spans="1:7" x14ac:dyDescent="0.35">
      <c r="A13" t="s">
        <v>3159</v>
      </c>
      <c r="B13" t="s">
        <v>29</v>
      </c>
      <c r="C13" t="s">
        <v>1307</v>
      </c>
      <c r="D13" t="s">
        <v>164</v>
      </c>
      <c r="E13" t="s">
        <v>4</v>
      </c>
      <c r="F13">
        <f>148/25</f>
        <v>5.92</v>
      </c>
      <c r="G13" t="s">
        <v>10</v>
      </c>
    </row>
    <row r="15" spans="1:7" x14ac:dyDescent="0.35">
      <c r="A15" t="s">
        <v>3176</v>
      </c>
      <c r="B15" t="s">
        <v>1921</v>
      </c>
      <c r="C15" t="s">
        <v>3177</v>
      </c>
      <c r="D15" t="s">
        <v>219</v>
      </c>
      <c r="E15" t="s">
        <v>4</v>
      </c>
      <c r="F15">
        <f>46/5.5</f>
        <v>8.3636363636363633</v>
      </c>
      <c r="G15" t="s">
        <v>10</v>
      </c>
    </row>
    <row r="17" spans="1:7" x14ac:dyDescent="0.35">
      <c r="A17" t="s">
        <v>3703</v>
      </c>
      <c r="B17" t="s">
        <v>703</v>
      </c>
      <c r="C17" t="s">
        <v>2215</v>
      </c>
      <c r="D17" t="s">
        <v>352</v>
      </c>
      <c r="E17" t="s">
        <v>4</v>
      </c>
      <c r="F17">
        <f>195/18</f>
        <v>10.833333333333334</v>
      </c>
      <c r="G17" t="s">
        <v>10</v>
      </c>
    </row>
    <row r="19" spans="1:7" x14ac:dyDescent="0.35">
      <c r="A19" t="s">
        <v>4155</v>
      </c>
      <c r="B19" t="s">
        <v>4156</v>
      </c>
      <c r="C19" t="s">
        <v>4157</v>
      </c>
      <c r="D19" t="s">
        <v>4158</v>
      </c>
      <c r="E19" t="s">
        <v>4</v>
      </c>
      <c r="F19">
        <f>1800/161</f>
        <v>11.180124223602485</v>
      </c>
      <c r="G19" t="s">
        <v>10</v>
      </c>
    </row>
    <row r="21" spans="1:7" x14ac:dyDescent="0.35">
      <c r="A21" t="s">
        <v>4174</v>
      </c>
      <c r="B21" t="s">
        <v>1474</v>
      </c>
      <c r="C21" t="s">
        <v>4175</v>
      </c>
      <c r="D21" t="s">
        <v>79</v>
      </c>
      <c r="E21" t="s">
        <v>4</v>
      </c>
      <c r="F21">
        <f>28/10</f>
        <v>2.8</v>
      </c>
      <c r="G21" t="s">
        <v>10</v>
      </c>
    </row>
    <row r="23" spans="1:7" x14ac:dyDescent="0.35">
      <c r="A23" t="s">
        <v>4277</v>
      </c>
      <c r="B23" t="s">
        <v>4278</v>
      </c>
      <c r="C23" t="s">
        <v>4279</v>
      </c>
      <c r="D23" t="s">
        <v>4280</v>
      </c>
      <c r="E23" t="s">
        <v>4</v>
      </c>
      <c r="F23">
        <f>6235/650</f>
        <v>9.592307692307692</v>
      </c>
      <c r="G23" t="s">
        <v>10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74A6C-3C61-4194-8281-31E1B33BFE69}">
  <dimension ref="A1:H151"/>
  <sheetViews>
    <sheetView topLeftCell="A124" workbookViewId="0">
      <selection activeCell="A153" sqref="A153"/>
    </sheetView>
  </sheetViews>
  <sheetFormatPr defaultRowHeight="14.5" x14ac:dyDescent="0.35"/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f>10/0.2</f>
        <v>50</v>
      </c>
      <c r="G1" s="2" t="s">
        <v>5</v>
      </c>
    </row>
    <row r="3" spans="1:8" x14ac:dyDescent="0.35">
      <c r="A3" s="2" t="s">
        <v>262</v>
      </c>
      <c r="B3" s="2" t="s">
        <v>263</v>
      </c>
      <c r="C3" s="2" t="s">
        <v>264</v>
      </c>
      <c r="D3" s="2" t="s">
        <v>265</v>
      </c>
      <c r="E3" s="2" t="s">
        <v>4</v>
      </c>
      <c r="F3" s="2">
        <f>2770/45</f>
        <v>61.555555555555557</v>
      </c>
      <c r="G3" s="2" t="s">
        <v>5</v>
      </c>
    </row>
    <row r="5" spans="1:8" x14ac:dyDescent="0.35">
      <c r="A5" s="2" t="s">
        <v>447</v>
      </c>
      <c r="B5" s="2" t="s">
        <v>448</v>
      </c>
      <c r="C5" s="2" t="s">
        <v>449</v>
      </c>
      <c r="D5" s="2" t="s">
        <v>79</v>
      </c>
      <c r="E5" s="2" t="s">
        <v>4</v>
      </c>
      <c r="F5" s="2">
        <f>129/10</f>
        <v>12.9</v>
      </c>
      <c r="G5" s="2" t="s">
        <v>10</v>
      </c>
      <c r="H5" s="2" t="s">
        <v>450</v>
      </c>
    </row>
    <row r="7" spans="1:8" x14ac:dyDescent="0.35">
      <c r="A7" s="2" t="s">
        <v>506</v>
      </c>
      <c r="B7" s="2" t="s">
        <v>507</v>
      </c>
      <c r="C7" s="2" t="s">
        <v>508</v>
      </c>
      <c r="D7" s="2" t="s">
        <v>509</v>
      </c>
      <c r="E7" s="2" t="s">
        <v>4</v>
      </c>
      <c r="F7" s="2">
        <f>2880/58</f>
        <v>49.655172413793103</v>
      </c>
      <c r="G7" s="2" t="s">
        <v>5</v>
      </c>
    </row>
    <row r="9" spans="1:8" x14ac:dyDescent="0.35">
      <c r="A9" s="2" t="s">
        <v>590</v>
      </c>
      <c r="B9" s="2" t="s">
        <v>591</v>
      </c>
      <c r="C9" s="2" t="s">
        <v>592</v>
      </c>
      <c r="D9" s="2" t="s">
        <v>593</v>
      </c>
      <c r="E9" s="2" t="s">
        <v>4</v>
      </c>
      <c r="F9" s="2">
        <f>403/27</f>
        <v>14.925925925925926</v>
      </c>
      <c r="G9" s="2" t="s">
        <v>10</v>
      </c>
    </row>
    <row r="11" spans="1:8" x14ac:dyDescent="0.35">
      <c r="A11" t="s">
        <v>607</v>
      </c>
      <c r="B11" t="s">
        <v>608</v>
      </c>
      <c r="C11" t="s">
        <v>609</v>
      </c>
      <c r="D11" t="s">
        <v>366</v>
      </c>
      <c r="E11" t="s">
        <v>4</v>
      </c>
      <c r="F11">
        <f>425/14</f>
        <v>30.357142857142858</v>
      </c>
      <c r="G11" t="s">
        <v>5</v>
      </c>
    </row>
    <row r="13" spans="1:8" x14ac:dyDescent="0.35">
      <c r="A13" s="1" t="s">
        <v>789</v>
      </c>
      <c r="B13" s="1" t="s">
        <v>790</v>
      </c>
      <c r="C13" s="1" t="s">
        <v>791</v>
      </c>
      <c r="D13" s="1" t="s">
        <v>164</v>
      </c>
      <c r="E13" s="1" t="s">
        <v>4</v>
      </c>
      <c r="F13" s="1">
        <f>325/25</f>
        <v>13</v>
      </c>
      <c r="G13" s="1" t="s">
        <v>10</v>
      </c>
    </row>
    <row r="15" spans="1:8" x14ac:dyDescent="0.35">
      <c r="A15" t="s">
        <v>994</v>
      </c>
      <c r="B15" t="s">
        <v>790</v>
      </c>
      <c r="C15" t="s">
        <v>995</v>
      </c>
      <c r="D15" t="s">
        <v>280</v>
      </c>
      <c r="E15" t="s">
        <v>4</v>
      </c>
      <c r="F15">
        <f>940/20</f>
        <v>47</v>
      </c>
      <c r="G15" t="s">
        <v>5</v>
      </c>
    </row>
    <row r="17" spans="1:7" x14ac:dyDescent="0.35">
      <c r="A17" t="s">
        <v>1054</v>
      </c>
      <c r="B17" t="s">
        <v>1055</v>
      </c>
      <c r="C17" t="s">
        <v>1056</v>
      </c>
      <c r="D17" t="s">
        <v>626</v>
      </c>
      <c r="E17" t="s">
        <v>4</v>
      </c>
      <c r="F17">
        <f>557/39</f>
        <v>14.282051282051283</v>
      </c>
      <c r="G17" t="s">
        <v>10</v>
      </c>
    </row>
    <row r="19" spans="1:7" x14ac:dyDescent="0.35">
      <c r="A19" t="s">
        <v>1106</v>
      </c>
      <c r="B19" t="s">
        <v>778</v>
      </c>
      <c r="C19" t="s">
        <v>1107</v>
      </c>
      <c r="D19" t="s">
        <v>1108</v>
      </c>
      <c r="E19" t="s">
        <v>4</v>
      </c>
      <c r="F19">
        <f>445/5.72</f>
        <v>77.7972027972028</v>
      </c>
      <c r="G19" t="s">
        <v>5</v>
      </c>
    </row>
    <row r="21" spans="1:7" x14ac:dyDescent="0.35">
      <c r="A21" t="s">
        <v>1198</v>
      </c>
      <c r="B21" t="s">
        <v>1199</v>
      </c>
      <c r="C21" t="s">
        <v>1200</v>
      </c>
      <c r="D21" t="s">
        <v>413</v>
      </c>
      <c r="E21" t="s">
        <v>4</v>
      </c>
      <c r="F21">
        <f>563/46</f>
        <v>12.239130434782609</v>
      </c>
      <c r="G21" t="s">
        <v>10</v>
      </c>
    </row>
    <row r="23" spans="1:7" x14ac:dyDescent="0.35">
      <c r="A23" t="s">
        <v>1318</v>
      </c>
      <c r="B23" t="s">
        <v>1319</v>
      </c>
      <c r="C23" t="s">
        <v>1320</v>
      </c>
      <c r="D23" t="s">
        <v>59</v>
      </c>
      <c r="E23" t="s">
        <v>4</v>
      </c>
      <c r="F23">
        <f>389/13</f>
        <v>29.923076923076923</v>
      </c>
      <c r="G23" t="s">
        <v>5</v>
      </c>
    </row>
    <row r="25" spans="1:7" x14ac:dyDescent="0.35">
      <c r="A25" t="s">
        <v>1321</v>
      </c>
      <c r="B25" t="s">
        <v>260</v>
      </c>
      <c r="C25" t="s">
        <v>1322</v>
      </c>
      <c r="D25" t="s">
        <v>35</v>
      </c>
      <c r="E25" t="s">
        <v>4</v>
      </c>
      <c r="F25">
        <f>78/6</f>
        <v>13</v>
      </c>
      <c r="G25" t="s">
        <v>10</v>
      </c>
    </row>
    <row r="27" spans="1:7" x14ac:dyDescent="0.35">
      <c r="A27" t="s">
        <v>1599</v>
      </c>
      <c r="B27" t="s">
        <v>402</v>
      </c>
      <c r="C27" t="s">
        <v>1600</v>
      </c>
      <c r="D27" t="s">
        <v>1457</v>
      </c>
      <c r="E27" t="s">
        <v>4</v>
      </c>
      <c r="F27">
        <f>312/13.5</f>
        <v>23.111111111111111</v>
      </c>
      <c r="G27" t="s">
        <v>10</v>
      </c>
    </row>
    <row r="29" spans="1:7" x14ac:dyDescent="0.35">
      <c r="A29" t="s">
        <v>1618</v>
      </c>
      <c r="B29" t="s">
        <v>1466</v>
      </c>
      <c r="C29" t="s">
        <v>1619</v>
      </c>
      <c r="D29" t="s">
        <v>1457</v>
      </c>
      <c r="E29" t="s">
        <v>4</v>
      </c>
      <c r="F29">
        <f>135/13.5</f>
        <v>10</v>
      </c>
      <c r="G29" t="s">
        <v>10</v>
      </c>
    </row>
    <row r="31" spans="1:7" x14ac:dyDescent="0.35">
      <c r="A31" t="s">
        <v>1636</v>
      </c>
      <c r="B31" t="s">
        <v>1637</v>
      </c>
      <c r="C31" t="s">
        <v>218</v>
      </c>
      <c r="D31" t="s">
        <v>219</v>
      </c>
      <c r="E31" t="s">
        <v>4</v>
      </c>
      <c r="F31">
        <f>38/5.5</f>
        <v>6.9090909090909092</v>
      </c>
      <c r="G31" t="s">
        <v>10</v>
      </c>
    </row>
    <row r="33" spans="1:7" x14ac:dyDescent="0.35">
      <c r="A33" t="s">
        <v>1735</v>
      </c>
      <c r="B33" t="s">
        <v>1736</v>
      </c>
      <c r="C33" t="s">
        <v>1737</v>
      </c>
      <c r="D33" t="s">
        <v>200</v>
      </c>
      <c r="E33" t="s">
        <v>4</v>
      </c>
      <c r="F33">
        <f>512/43</f>
        <v>11.906976744186046</v>
      </c>
      <c r="G33" t="s">
        <v>10</v>
      </c>
    </row>
    <row r="35" spans="1:7" x14ac:dyDescent="0.35">
      <c r="A35" t="s">
        <v>1774</v>
      </c>
      <c r="B35" t="s">
        <v>333</v>
      </c>
      <c r="C35" t="s">
        <v>1775</v>
      </c>
      <c r="D35" t="s">
        <v>79</v>
      </c>
      <c r="E35" t="s">
        <v>4</v>
      </c>
      <c r="F35">
        <f>115/10</f>
        <v>11.5</v>
      </c>
      <c r="G35" t="s">
        <v>10</v>
      </c>
    </row>
    <row r="37" spans="1:7" x14ac:dyDescent="0.35">
      <c r="A37" t="s">
        <v>1794</v>
      </c>
      <c r="B37" t="s">
        <v>1694</v>
      </c>
      <c r="C37" t="s">
        <v>1795</v>
      </c>
      <c r="D37" t="s">
        <v>122</v>
      </c>
      <c r="E37" t="s">
        <v>4</v>
      </c>
      <c r="F37">
        <f>550/16</f>
        <v>34.375</v>
      </c>
      <c r="G37" t="s">
        <v>5</v>
      </c>
    </row>
    <row r="39" spans="1:7" x14ac:dyDescent="0.35">
      <c r="A39" t="s">
        <v>1796</v>
      </c>
      <c r="B39" t="s">
        <v>1634</v>
      </c>
      <c r="C39" t="s">
        <v>1797</v>
      </c>
      <c r="D39" t="s">
        <v>93</v>
      </c>
      <c r="E39" t="s">
        <v>4</v>
      </c>
      <c r="F39">
        <f>43.6/4.5</f>
        <v>9.68888888888889</v>
      </c>
      <c r="G39" t="s">
        <v>10</v>
      </c>
    </row>
    <row r="41" spans="1:7" x14ac:dyDescent="0.35">
      <c r="A41" t="s">
        <v>1855</v>
      </c>
      <c r="B41" t="s">
        <v>1856</v>
      </c>
      <c r="C41" t="s">
        <v>1857</v>
      </c>
      <c r="D41" t="s">
        <v>819</v>
      </c>
      <c r="E41" t="s">
        <v>4</v>
      </c>
      <c r="F41">
        <f>330/29</f>
        <v>11.379310344827585</v>
      </c>
      <c r="G41" t="s">
        <v>10</v>
      </c>
    </row>
    <row r="43" spans="1:7" x14ac:dyDescent="0.35">
      <c r="A43" t="s">
        <v>1929</v>
      </c>
      <c r="B43" t="s">
        <v>1278</v>
      </c>
      <c r="C43" t="s">
        <v>1930</v>
      </c>
      <c r="D43" t="s">
        <v>1181</v>
      </c>
      <c r="E43" t="s">
        <v>4</v>
      </c>
      <c r="F43">
        <f>105/1.5</f>
        <v>70</v>
      </c>
      <c r="G43" t="s">
        <v>5</v>
      </c>
    </row>
    <row r="45" spans="1:7" x14ac:dyDescent="0.35">
      <c r="A45" t="s">
        <v>2219</v>
      </c>
      <c r="B45" t="s">
        <v>2220</v>
      </c>
      <c r="C45" t="s">
        <v>2221</v>
      </c>
      <c r="D45" t="s">
        <v>79</v>
      </c>
      <c r="E45" t="s">
        <v>4</v>
      </c>
      <c r="F45">
        <f>60/10</f>
        <v>6</v>
      </c>
      <c r="G45" t="s">
        <v>10</v>
      </c>
    </row>
    <row r="47" spans="1:7" x14ac:dyDescent="0.35">
      <c r="A47" t="s">
        <v>2245</v>
      </c>
      <c r="B47" t="s">
        <v>694</v>
      </c>
      <c r="C47" t="s">
        <v>2246</v>
      </c>
      <c r="D47" t="s">
        <v>971</v>
      </c>
      <c r="E47" t="s">
        <v>4</v>
      </c>
      <c r="F47">
        <f>228/10.5</f>
        <v>21.714285714285715</v>
      </c>
      <c r="G47" t="s">
        <v>5</v>
      </c>
    </row>
    <row r="49" spans="1:7" x14ac:dyDescent="0.35">
      <c r="A49" t="s">
        <v>2291</v>
      </c>
      <c r="B49" t="s">
        <v>2292</v>
      </c>
      <c r="C49" t="s">
        <v>66</v>
      </c>
      <c r="D49" t="s">
        <v>19</v>
      </c>
      <c r="E49" t="s">
        <v>4</v>
      </c>
      <c r="F49">
        <f>964/9</f>
        <v>107.11111111111111</v>
      </c>
      <c r="G49" t="s">
        <v>5</v>
      </c>
    </row>
    <row r="51" spans="1:7" x14ac:dyDescent="0.35">
      <c r="A51" t="s">
        <v>2308</v>
      </c>
      <c r="B51" t="s">
        <v>615</v>
      </c>
      <c r="C51" t="s">
        <v>2309</v>
      </c>
      <c r="D51" t="s">
        <v>1002</v>
      </c>
      <c r="E51" t="s">
        <v>4</v>
      </c>
      <c r="F51">
        <f>93/7.5</f>
        <v>12.4</v>
      </c>
      <c r="G51" t="s">
        <v>10</v>
      </c>
    </row>
    <row r="53" spans="1:7" x14ac:dyDescent="0.35">
      <c r="A53" t="s">
        <v>2317</v>
      </c>
      <c r="B53" t="s">
        <v>132</v>
      </c>
      <c r="C53" t="s">
        <v>2318</v>
      </c>
      <c r="D53" t="s">
        <v>1002</v>
      </c>
      <c r="E53" t="s">
        <v>4</v>
      </c>
      <c r="F53">
        <f>81/7.5</f>
        <v>10.8</v>
      </c>
      <c r="G53" t="s">
        <v>10</v>
      </c>
    </row>
    <row r="55" spans="1:7" x14ac:dyDescent="0.35">
      <c r="A55" t="s">
        <v>2383</v>
      </c>
      <c r="B55" t="s">
        <v>29</v>
      </c>
      <c r="C55" t="s">
        <v>30</v>
      </c>
      <c r="D55" t="s">
        <v>31</v>
      </c>
    </row>
    <row r="57" spans="1:7" x14ac:dyDescent="0.35">
      <c r="A57" t="s">
        <v>2433</v>
      </c>
      <c r="B57" t="s">
        <v>2434</v>
      </c>
      <c r="C57" t="s">
        <v>806</v>
      </c>
      <c r="D57" t="s">
        <v>27</v>
      </c>
      <c r="E57" t="s">
        <v>4</v>
      </c>
      <c r="F57">
        <f>474/35</f>
        <v>13.542857142857143</v>
      </c>
      <c r="G57" t="s">
        <v>10</v>
      </c>
    </row>
    <row r="59" spans="1:7" x14ac:dyDescent="0.35">
      <c r="A59" t="s">
        <v>2503</v>
      </c>
      <c r="B59" t="s">
        <v>29</v>
      </c>
      <c r="C59" t="s">
        <v>2504</v>
      </c>
      <c r="D59" t="s">
        <v>134</v>
      </c>
      <c r="E59" t="s">
        <v>4</v>
      </c>
      <c r="F59">
        <f>443/12</f>
        <v>36.916666666666664</v>
      </c>
      <c r="G59" t="s">
        <v>10</v>
      </c>
    </row>
    <row r="61" spans="1:7" x14ac:dyDescent="0.35">
      <c r="A61" t="s">
        <v>2563</v>
      </c>
      <c r="B61" t="s">
        <v>2564</v>
      </c>
      <c r="C61" t="s">
        <v>1982</v>
      </c>
      <c r="D61" t="s">
        <v>596</v>
      </c>
      <c r="E61" t="s">
        <v>4</v>
      </c>
      <c r="F61">
        <f>1835/55</f>
        <v>33.363636363636367</v>
      </c>
      <c r="G61" t="s">
        <v>5</v>
      </c>
    </row>
    <row r="63" spans="1:7" x14ac:dyDescent="0.35">
      <c r="A63" t="s">
        <v>2581</v>
      </c>
      <c r="B63" t="s">
        <v>245</v>
      </c>
      <c r="C63" t="s">
        <v>2582</v>
      </c>
      <c r="D63" t="s">
        <v>677</v>
      </c>
      <c r="E63" t="s">
        <v>4</v>
      </c>
      <c r="F63">
        <f>102/9.5</f>
        <v>10.736842105263158</v>
      </c>
      <c r="G63" t="s">
        <v>10</v>
      </c>
    </row>
    <row r="65" spans="1:7" x14ac:dyDescent="0.35">
      <c r="A65" t="s">
        <v>2605</v>
      </c>
      <c r="B65" t="s">
        <v>1820</v>
      </c>
      <c r="C65" t="s">
        <v>406</v>
      </c>
      <c r="D65" t="s">
        <v>59</v>
      </c>
      <c r="E65" t="s">
        <v>4</v>
      </c>
      <c r="F65">
        <f>80/13</f>
        <v>6.1538461538461542</v>
      </c>
      <c r="G65" t="s">
        <v>10</v>
      </c>
    </row>
    <row r="67" spans="1:7" x14ac:dyDescent="0.35">
      <c r="A67" t="s">
        <v>2610</v>
      </c>
      <c r="B67" t="s">
        <v>1022</v>
      </c>
      <c r="C67" t="s">
        <v>1814</v>
      </c>
      <c r="D67" t="s">
        <v>258</v>
      </c>
      <c r="E67" t="s">
        <v>4</v>
      </c>
      <c r="F67">
        <f>48/5</f>
        <v>9.6</v>
      </c>
      <c r="G67" t="s">
        <v>10</v>
      </c>
    </row>
    <row r="69" spans="1:7" x14ac:dyDescent="0.35">
      <c r="A69" t="s">
        <v>2633</v>
      </c>
      <c r="B69" t="s">
        <v>2634</v>
      </c>
      <c r="C69" t="s">
        <v>2635</v>
      </c>
      <c r="D69" t="s">
        <v>178</v>
      </c>
      <c r="E69" t="s">
        <v>4</v>
      </c>
      <c r="F69">
        <f>320/15</f>
        <v>21.333333333333332</v>
      </c>
      <c r="G69" t="s">
        <v>10</v>
      </c>
    </row>
    <row r="71" spans="1:7" x14ac:dyDescent="0.35">
      <c r="A71" t="s">
        <v>2726</v>
      </c>
      <c r="B71" t="s">
        <v>669</v>
      </c>
      <c r="C71" t="s">
        <v>1797</v>
      </c>
      <c r="D71" t="s">
        <v>219</v>
      </c>
      <c r="E71" t="s">
        <v>4</v>
      </c>
      <c r="F71">
        <f>231/5.5</f>
        <v>42</v>
      </c>
      <c r="G71" t="s">
        <v>5</v>
      </c>
    </row>
    <row r="73" spans="1:7" x14ac:dyDescent="0.35">
      <c r="A73" t="s">
        <v>2744</v>
      </c>
      <c r="B73" t="s">
        <v>1916</v>
      </c>
      <c r="C73" t="s">
        <v>2745</v>
      </c>
      <c r="D73" t="s">
        <v>164</v>
      </c>
      <c r="E73" t="s">
        <v>4</v>
      </c>
      <c r="F73">
        <f>987/25</f>
        <v>39.479999999999997</v>
      </c>
      <c r="G73" t="s">
        <v>5</v>
      </c>
    </row>
    <row r="75" spans="1:7" x14ac:dyDescent="0.35">
      <c r="A75" t="s">
        <v>2789</v>
      </c>
      <c r="B75" t="s">
        <v>2790</v>
      </c>
      <c r="C75" t="s">
        <v>2791</v>
      </c>
      <c r="D75" t="s">
        <v>2792</v>
      </c>
      <c r="E75" t="s">
        <v>2793</v>
      </c>
      <c r="F75">
        <f>34500/700</f>
        <v>49.285714285714285</v>
      </c>
      <c r="G75" t="s">
        <v>5</v>
      </c>
    </row>
    <row r="77" spans="1:7" x14ac:dyDescent="0.35">
      <c r="A77" t="s">
        <v>2800</v>
      </c>
      <c r="B77" t="s">
        <v>1085</v>
      </c>
      <c r="C77" t="s">
        <v>2801</v>
      </c>
      <c r="D77" t="s">
        <v>134</v>
      </c>
      <c r="E77" t="s">
        <v>4</v>
      </c>
      <c r="F77">
        <f>173/12</f>
        <v>14.416666666666666</v>
      </c>
      <c r="G77" t="s">
        <v>10</v>
      </c>
    </row>
    <row r="79" spans="1:7" x14ac:dyDescent="0.35">
      <c r="A79" t="s">
        <v>2913</v>
      </c>
      <c r="B79" t="s">
        <v>1916</v>
      </c>
      <c r="C79" t="s">
        <v>2745</v>
      </c>
      <c r="D79" t="s">
        <v>593</v>
      </c>
      <c r="E79" t="s">
        <v>4</v>
      </c>
      <c r="F79">
        <f>980/27</f>
        <v>36.296296296296298</v>
      </c>
      <c r="G79" t="s">
        <v>5</v>
      </c>
    </row>
    <row r="81" spans="1:7" x14ac:dyDescent="0.35">
      <c r="A81" t="s">
        <v>2945</v>
      </c>
      <c r="B81" t="s">
        <v>2946</v>
      </c>
      <c r="C81" t="s">
        <v>449</v>
      </c>
      <c r="D81" t="s">
        <v>498</v>
      </c>
      <c r="E81" t="s">
        <v>4</v>
      </c>
      <c r="F81">
        <f>102/8</f>
        <v>12.75</v>
      </c>
      <c r="G81" t="s">
        <v>10</v>
      </c>
    </row>
    <row r="83" spans="1:7" x14ac:dyDescent="0.35">
      <c r="A83" t="s">
        <v>2977</v>
      </c>
      <c r="B83" t="s">
        <v>1046</v>
      </c>
      <c r="C83" t="s">
        <v>2978</v>
      </c>
      <c r="D83" t="s">
        <v>258</v>
      </c>
      <c r="E83" t="s">
        <v>4</v>
      </c>
      <c r="F83">
        <f>141/5</f>
        <v>28.2</v>
      </c>
      <c r="G83" t="s">
        <v>5</v>
      </c>
    </row>
    <row r="85" spans="1:7" x14ac:dyDescent="0.35">
      <c r="A85" t="s">
        <v>3041</v>
      </c>
      <c r="B85" t="s">
        <v>2118</v>
      </c>
      <c r="C85" t="s">
        <v>2567</v>
      </c>
      <c r="D85" t="s">
        <v>387</v>
      </c>
      <c r="E85" t="s">
        <v>4</v>
      </c>
      <c r="F85">
        <f>107/7</f>
        <v>15.285714285714286</v>
      </c>
      <c r="G85" t="s">
        <v>10</v>
      </c>
    </row>
    <row r="87" spans="1:7" x14ac:dyDescent="0.35">
      <c r="A87" t="s">
        <v>3154</v>
      </c>
      <c r="B87" t="s">
        <v>1634</v>
      </c>
      <c r="C87" t="s">
        <v>3155</v>
      </c>
      <c r="D87" t="s">
        <v>1181</v>
      </c>
      <c r="E87" t="s">
        <v>4</v>
      </c>
      <c r="F87">
        <f>25/1.5</f>
        <v>16.666666666666668</v>
      </c>
      <c r="G87" t="s">
        <v>10</v>
      </c>
    </row>
    <row r="89" spans="1:7" x14ac:dyDescent="0.35">
      <c r="A89" t="s">
        <v>3186</v>
      </c>
      <c r="B89" t="s">
        <v>3187</v>
      </c>
      <c r="C89" t="s">
        <v>3188</v>
      </c>
      <c r="D89" t="s">
        <v>824</v>
      </c>
      <c r="E89" t="s">
        <v>4</v>
      </c>
      <c r="F89">
        <f>1329/110</f>
        <v>12.081818181818182</v>
      </c>
      <c r="G89" t="s">
        <v>10</v>
      </c>
    </row>
    <row r="91" spans="1:7" x14ac:dyDescent="0.35">
      <c r="A91" t="s">
        <v>3264</v>
      </c>
      <c r="B91" t="s">
        <v>3265</v>
      </c>
      <c r="C91" t="s">
        <v>3266</v>
      </c>
      <c r="D91" t="s">
        <v>463</v>
      </c>
      <c r="E91" t="s">
        <v>4</v>
      </c>
      <c r="F91">
        <f>505/24</f>
        <v>21.041666666666668</v>
      </c>
      <c r="G91" t="s">
        <v>5</v>
      </c>
    </row>
    <row r="93" spans="1:7" x14ac:dyDescent="0.35">
      <c r="A93" t="s">
        <v>3367</v>
      </c>
      <c r="B93" t="s">
        <v>289</v>
      </c>
      <c r="C93" t="s">
        <v>2126</v>
      </c>
      <c r="D93" t="s">
        <v>1002</v>
      </c>
      <c r="E93" t="s">
        <v>4</v>
      </c>
      <c r="F93">
        <f>342/7.5</f>
        <v>45.6</v>
      </c>
      <c r="G93" t="s">
        <v>5</v>
      </c>
    </row>
    <row r="95" spans="1:7" x14ac:dyDescent="0.35">
      <c r="A95" t="s">
        <v>3390</v>
      </c>
      <c r="B95" t="s">
        <v>296</v>
      </c>
      <c r="C95" t="s">
        <v>3391</v>
      </c>
      <c r="D95" t="s">
        <v>1002</v>
      </c>
      <c r="E95" t="s">
        <v>4</v>
      </c>
      <c r="F95">
        <f>117/7.5</f>
        <v>15.6</v>
      </c>
      <c r="G95" t="s">
        <v>10</v>
      </c>
    </row>
    <row r="97" spans="1:7" x14ac:dyDescent="0.35">
      <c r="A97" t="s">
        <v>3400</v>
      </c>
      <c r="B97" t="s">
        <v>3401</v>
      </c>
      <c r="C97" t="s">
        <v>543</v>
      </c>
      <c r="D97" t="s">
        <v>613</v>
      </c>
      <c r="E97" t="s">
        <v>4</v>
      </c>
      <c r="F97">
        <f>500/40</f>
        <v>12.5</v>
      </c>
      <c r="G97" t="s">
        <v>10</v>
      </c>
    </row>
    <row r="99" spans="1:7" x14ac:dyDescent="0.35">
      <c r="A99" t="s">
        <v>3420</v>
      </c>
      <c r="B99" t="s">
        <v>675</v>
      </c>
      <c r="C99" t="s">
        <v>917</v>
      </c>
      <c r="D99" t="s">
        <v>1002</v>
      </c>
      <c r="E99" t="s">
        <v>4</v>
      </c>
      <c r="F99">
        <f>108/7.5</f>
        <v>14.4</v>
      </c>
      <c r="G99" t="s">
        <v>10</v>
      </c>
    </row>
    <row r="101" spans="1:7" x14ac:dyDescent="0.35">
      <c r="A101" t="s">
        <v>3447</v>
      </c>
      <c r="B101" t="s">
        <v>3448</v>
      </c>
      <c r="C101" t="s">
        <v>3449</v>
      </c>
      <c r="D101" t="s">
        <v>265</v>
      </c>
      <c r="E101" t="s">
        <v>4</v>
      </c>
      <c r="F101">
        <f>728/45</f>
        <v>16.177777777777777</v>
      </c>
      <c r="G101" t="s">
        <v>10</v>
      </c>
    </row>
    <row r="103" spans="1:7" x14ac:dyDescent="0.35">
      <c r="A103" t="s">
        <v>3451</v>
      </c>
      <c r="B103" t="s">
        <v>615</v>
      </c>
      <c r="C103" t="s">
        <v>3452</v>
      </c>
      <c r="D103" t="s">
        <v>3453</v>
      </c>
      <c r="E103" t="s">
        <v>4</v>
      </c>
      <c r="F103">
        <f>111/6.9</f>
        <v>16.086956521739129</v>
      </c>
      <c r="G103" t="s">
        <v>10</v>
      </c>
    </row>
    <row r="105" spans="1:7" x14ac:dyDescent="0.35">
      <c r="A105" t="s">
        <v>3454</v>
      </c>
      <c r="B105" t="s">
        <v>3455</v>
      </c>
      <c r="C105" t="s">
        <v>753</v>
      </c>
      <c r="D105" t="s">
        <v>593</v>
      </c>
      <c r="E105" t="s">
        <v>4</v>
      </c>
      <c r="F105">
        <f>966/27</f>
        <v>35.777777777777779</v>
      </c>
      <c r="G105" t="s">
        <v>5</v>
      </c>
    </row>
    <row r="107" spans="1:7" x14ac:dyDescent="0.35">
      <c r="A107" t="s">
        <v>3487</v>
      </c>
      <c r="B107" t="s">
        <v>3253</v>
      </c>
      <c r="C107" t="s">
        <v>990</v>
      </c>
      <c r="D107" t="s">
        <v>1112</v>
      </c>
      <c r="E107" t="s">
        <v>4</v>
      </c>
      <c r="F107">
        <f>49/6.5</f>
        <v>7.5384615384615383</v>
      </c>
      <c r="G107" t="s">
        <v>10</v>
      </c>
    </row>
    <row r="109" spans="1:7" x14ac:dyDescent="0.35">
      <c r="A109" t="s">
        <v>3497</v>
      </c>
      <c r="B109" t="s">
        <v>1681</v>
      </c>
      <c r="C109" t="s">
        <v>3182</v>
      </c>
      <c r="D109" t="s">
        <v>280</v>
      </c>
      <c r="E109" t="s">
        <v>4</v>
      </c>
      <c r="F109">
        <f>692/20</f>
        <v>34.6</v>
      </c>
      <c r="G109" t="s">
        <v>5</v>
      </c>
    </row>
    <row r="111" spans="1:7" x14ac:dyDescent="0.35">
      <c r="A111" t="s">
        <v>3577</v>
      </c>
      <c r="B111" t="s">
        <v>3578</v>
      </c>
      <c r="C111" t="s">
        <v>3579</v>
      </c>
      <c r="D111" t="s">
        <v>309</v>
      </c>
      <c r="E111" t="s">
        <v>4</v>
      </c>
      <c r="F111">
        <f>335/17</f>
        <v>19.705882352941178</v>
      </c>
      <c r="G111" t="s">
        <v>10</v>
      </c>
    </row>
    <row r="113" spans="1:7" x14ac:dyDescent="0.35">
      <c r="A113" t="s">
        <v>3594</v>
      </c>
      <c r="B113" t="s">
        <v>1662</v>
      </c>
      <c r="C113" t="s">
        <v>22</v>
      </c>
      <c r="D113" t="s">
        <v>280</v>
      </c>
      <c r="E113" t="s">
        <v>4</v>
      </c>
      <c r="F113">
        <f>250/20</f>
        <v>12.5</v>
      </c>
      <c r="G113" t="s">
        <v>10</v>
      </c>
    </row>
    <row r="115" spans="1:7" x14ac:dyDescent="0.35">
      <c r="A115" t="s">
        <v>3663</v>
      </c>
      <c r="B115" t="s">
        <v>3664</v>
      </c>
      <c r="C115" t="s">
        <v>3558</v>
      </c>
      <c r="D115" t="s">
        <v>130</v>
      </c>
      <c r="E115" t="s">
        <v>4</v>
      </c>
      <c r="F115">
        <f>855/100</f>
        <v>8.5500000000000007</v>
      </c>
      <c r="G115" t="s">
        <v>10</v>
      </c>
    </row>
    <row r="117" spans="1:7" x14ac:dyDescent="0.35">
      <c r="A117" t="s">
        <v>3710</v>
      </c>
      <c r="B117" t="s">
        <v>3711</v>
      </c>
      <c r="C117" t="s">
        <v>395</v>
      </c>
      <c r="D117" t="s">
        <v>695</v>
      </c>
      <c r="E117" t="s">
        <v>4</v>
      </c>
      <c r="F117">
        <f>140/2</f>
        <v>70</v>
      </c>
      <c r="G117" t="s">
        <v>5</v>
      </c>
    </row>
    <row r="119" spans="1:7" x14ac:dyDescent="0.35">
      <c r="A119" t="s">
        <v>3789</v>
      </c>
      <c r="B119" t="s">
        <v>3561</v>
      </c>
      <c r="C119" t="s">
        <v>3790</v>
      </c>
      <c r="D119" t="s">
        <v>122</v>
      </c>
      <c r="E119" t="s">
        <v>4</v>
      </c>
      <c r="F119">
        <f>480/16</f>
        <v>30</v>
      </c>
      <c r="G119" t="s">
        <v>5</v>
      </c>
    </row>
    <row r="121" spans="1:7" x14ac:dyDescent="0.35">
      <c r="A121" t="s">
        <v>3800</v>
      </c>
      <c r="B121" t="s">
        <v>3801</v>
      </c>
      <c r="C121" t="s">
        <v>3802</v>
      </c>
      <c r="D121" t="s">
        <v>164</v>
      </c>
      <c r="E121" t="s">
        <v>4</v>
      </c>
      <c r="F121">
        <f>366/25</f>
        <v>14.64</v>
      </c>
      <c r="G121" t="s">
        <v>10</v>
      </c>
    </row>
    <row r="123" spans="1:7" x14ac:dyDescent="0.35">
      <c r="A123" t="s">
        <v>3811</v>
      </c>
      <c r="B123" t="s">
        <v>3812</v>
      </c>
      <c r="C123" t="s">
        <v>3813</v>
      </c>
      <c r="D123" t="s">
        <v>164</v>
      </c>
      <c r="E123" t="s">
        <v>4</v>
      </c>
      <c r="F123">
        <f>90/25</f>
        <v>3.6</v>
      </c>
      <c r="G123" t="s">
        <v>10</v>
      </c>
    </row>
    <row r="125" spans="1:7" x14ac:dyDescent="0.35">
      <c r="A125" t="s">
        <v>3843</v>
      </c>
      <c r="B125" t="s">
        <v>1257</v>
      </c>
      <c r="C125" t="s">
        <v>2073</v>
      </c>
      <c r="D125" t="s">
        <v>1181</v>
      </c>
      <c r="E125" t="s">
        <v>4</v>
      </c>
      <c r="F125">
        <f>75/1.5</f>
        <v>50</v>
      </c>
      <c r="G125" t="s">
        <v>5</v>
      </c>
    </row>
    <row r="127" spans="1:7" x14ac:dyDescent="0.35">
      <c r="A127" t="s">
        <v>3848</v>
      </c>
      <c r="B127" t="s">
        <v>548</v>
      </c>
      <c r="C127" t="s">
        <v>3849</v>
      </c>
      <c r="D127" t="s">
        <v>3850</v>
      </c>
      <c r="E127" t="s">
        <v>4</v>
      </c>
      <c r="F127">
        <f>24/0.8</f>
        <v>30</v>
      </c>
      <c r="G127" t="s">
        <v>5</v>
      </c>
    </row>
    <row r="129" spans="1:7" x14ac:dyDescent="0.35">
      <c r="A129" t="s">
        <v>3853</v>
      </c>
      <c r="B129" t="s">
        <v>1694</v>
      </c>
      <c r="C129" t="s">
        <v>3305</v>
      </c>
      <c r="D129" t="s">
        <v>498</v>
      </c>
      <c r="E129" t="s">
        <v>4</v>
      </c>
      <c r="F129">
        <f>148/8</f>
        <v>18.5</v>
      </c>
      <c r="G129" t="s">
        <v>597</v>
      </c>
    </row>
    <row r="131" spans="1:7" x14ac:dyDescent="0.35">
      <c r="A131" t="s">
        <v>3932</v>
      </c>
      <c r="B131" t="s">
        <v>3933</v>
      </c>
      <c r="C131" t="s">
        <v>3934</v>
      </c>
      <c r="D131" t="s">
        <v>89</v>
      </c>
      <c r="E131" t="s">
        <v>4</v>
      </c>
      <c r="F131">
        <f>43/4</f>
        <v>10.75</v>
      </c>
      <c r="G131" t="s">
        <v>10</v>
      </c>
    </row>
    <row r="133" spans="1:7" x14ac:dyDescent="0.35">
      <c r="A133" t="s">
        <v>3939</v>
      </c>
      <c r="B133" t="s">
        <v>3938</v>
      </c>
      <c r="C133" t="s">
        <v>1914</v>
      </c>
      <c r="D133" t="s">
        <v>192</v>
      </c>
      <c r="E133" t="s">
        <v>4</v>
      </c>
      <c r="F133">
        <f>126/11</f>
        <v>11.454545454545455</v>
      </c>
      <c r="G133" t="s">
        <v>10</v>
      </c>
    </row>
    <row r="135" spans="1:7" x14ac:dyDescent="0.35">
      <c r="A135" t="s">
        <v>3953</v>
      </c>
      <c r="B135" t="s">
        <v>1810</v>
      </c>
      <c r="C135" t="s">
        <v>3954</v>
      </c>
      <c r="D135" t="s">
        <v>2191</v>
      </c>
      <c r="E135" t="s">
        <v>4</v>
      </c>
      <c r="F135">
        <f>182/3.7</f>
        <v>49.189189189189186</v>
      </c>
      <c r="G135" t="s">
        <v>5</v>
      </c>
    </row>
    <row r="137" spans="1:7" x14ac:dyDescent="0.35">
      <c r="A137" t="s">
        <v>3980</v>
      </c>
      <c r="B137" t="s">
        <v>1124</v>
      </c>
      <c r="C137" t="s">
        <v>543</v>
      </c>
      <c r="D137" t="s">
        <v>144</v>
      </c>
      <c r="E137" t="s">
        <v>4</v>
      </c>
      <c r="F137">
        <f>950/30</f>
        <v>31.666666666666668</v>
      </c>
      <c r="G137" t="s">
        <v>5</v>
      </c>
    </row>
    <row r="139" spans="1:7" x14ac:dyDescent="0.35">
      <c r="A139" t="s">
        <v>3998</v>
      </c>
      <c r="B139" t="s">
        <v>1384</v>
      </c>
      <c r="C139" t="s">
        <v>3999</v>
      </c>
      <c r="D139" t="s">
        <v>19</v>
      </c>
      <c r="E139" t="s">
        <v>4</v>
      </c>
      <c r="F139">
        <f>104/9</f>
        <v>11.555555555555555</v>
      </c>
      <c r="G139" t="s">
        <v>10</v>
      </c>
    </row>
    <row r="141" spans="1:7" x14ac:dyDescent="0.35">
      <c r="A141" t="s">
        <v>4001</v>
      </c>
      <c r="B141" t="s">
        <v>3107</v>
      </c>
      <c r="C141" t="s">
        <v>4002</v>
      </c>
      <c r="D141" t="s">
        <v>59</v>
      </c>
      <c r="E141" t="s">
        <v>4</v>
      </c>
      <c r="F141">
        <f>314/13</f>
        <v>24.153846153846153</v>
      </c>
      <c r="G141" t="s">
        <v>10</v>
      </c>
    </row>
    <row r="143" spans="1:7" x14ac:dyDescent="0.35">
      <c r="A143" t="s">
        <v>4003</v>
      </c>
      <c r="B143" t="s">
        <v>378</v>
      </c>
      <c r="C143" t="s">
        <v>616</v>
      </c>
      <c r="D143" t="s">
        <v>695</v>
      </c>
      <c r="E143" t="s">
        <v>4</v>
      </c>
      <c r="F143">
        <f>111/2</f>
        <v>55.5</v>
      </c>
      <c r="G143" t="s">
        <v>5</v>
      </c>
    </row>
    <row r="145" spans="1:7" x14ac:dyDescent="0.35">
      <c r="A145" t="s">
        <v>4083</v>
      </c>
      <c r="B145" t="s">
        <v>1574</v>
      </c>
      <c r="C145" t="s">
        <v>4084</v>
      </c>
      <c r="D145" t="s">
        <v>387</v>
      </c>
      <c r="E145" t="s">
        <v>4</v>
      </c>
      <c r="F145">
        <f>313/7</f>
        <v>44.714285714285715</v>
      </c>
      <c r="G145" t="s">
        <v>5</v>
      </c>
    </row>
    <row r="147" spans="1:7" x14ac:dyDescent="0.35">
      <c r="A147" t="s">
        <v>4085</v>
      </c>
      <c r="B147" t="s">
        <v>656</v>
      </c>
      <c r="C147" t="s">
        <v>2766</v>
      </c>
      <c r="D147" t="s">
        <v>59</v>
      </c>
      <c r="E147" t="s">
        <v>4</v>
      </c>
      <c r="F147">
        <f>2</f>
        <v>2</v>
      </c>
    </row>
    <row r="149" spans="1:7" x14ac:dyDescent="0.35">
      <c r="A149" t="s">
        <v>4091</v>
      </c>
      <c r="B149" t="s">
        <v>4092</v>
      </c>
      <c r="C149" t="s">
        <v>4093</v>
      </c>
      <c r="D149" t="s">
        <v>2792</v>
      </c>
      <c r="E149" t="s">
        <v>4</v>
      </c>
      <c r="F149">
        <f>6660/700</f>
        <v>9.5142857142857142</v>
      </c>
      <c r="G149" t="s">
        <v>10</v>
      </c>
    </row>
    <row r="151" spans="1:7" x14ac:dyDescent="0.35">
      <c r="A151" t="s">
        <v>262</v>
      </c>
      <c r="B151" t="s">
        <v>4138</v>
      </c>
      <c r="C151" t="s">
        <v>4139</v>
      </c>
      <c r="D151" t="s">
        <v>2025</v>
      </c>
      <c r="E151" t="s">
        <v>4</v>
      </c>
      <c r="F151">
        <f>1990/66</f>
        <v>30.151515151515152</v>
      </c>
      <c r="G151" t="s">
        <v>10</v>
      </c>
    </row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4F165-16A6-47F0-A564-D732BF260D14}">
  <dimension ref="A1:G27"/>
  <sheetViews>
    <sheetView workbookViewId="0">
      <selection activeCell="A29" sqref="A29"/>
    </sheetView>
  </sheetViews>
  <sheetFormatPr defaultRowHeight="14.5" x14ac:dyDescent="0.35"/>
  <sheetData>
    <row r="1" spans="1:7" x14ac:dyDescent="0.35">
      <c r="A1" s="2" t="s">
        <v>28</v>
      </c>
      <c r="B1" s="2" t="s">
        <v>29</v>
      </c>
      <c r="C1" s="2" t="s">
        <v>30</v>
      </c>
      <c r="D1" s="2" t="s">
        <v>31</v>
      </c>
      <c r="E1" s="2" t="s">
        <v>4</v>
      </c>
      <c r="F1" s="2"/>
      <c r="G1" s="2"/>
    </row>
    <row r="3" spans="1:7" x14ac:dyDescent="0.35">
      <c r="A3" s="2" t="s">
        <v>224</v>
      </c>
      <c r="B3" s="2" t="s">
        <v>29</v>
      </c>
      <c r="C3" s="2" t="s">
        <v>225</v>
      </c>
      <c r="D3" s="2" t="s">
        <v>89</v>
      </c>
      <c r="E3" s="2" t="s">
        <v>4</v>
      </c>
      <c r="F3" s="2">
        <f>800/4</f>
        <v>200</v>
      </c>
      <c r="G3" s="2" t="s">
        <v>5</v>
      </c>
    </row>
    <row r="5" spans="1:7" x14ac:dyDescent="0.35">
      <c r="A5" t="s">
        <v>610</v>
      </c>
      <c r="B5" t="s">
        <v>611</v>
      </c>
      <c r="C5" t="s">
        <v>612</v>
      </c>
      <c r="D5" t="s">
        <v>613</v>
      </c>
      <c r="E5" t="s">
        <v>4</v>
      </c>
      <c r="F5">
        <f>1615/40</f>
        <v>40.375</v>
      </c>
      <c r="G5" t="s">
        <v>5</v>
      </c>
    </row>
    <row r="7" spans="1:7" x14ac:dyDescent="0.35">
      <c r="A7" t="s">
        <v>885</v>
      </c>
      <c r="B7" t="s">
        <v>29</v>
      </c>
    </row>
    <row r="9" spans="1:7" x14ac:dyDescent="0.35">
      <c r="A9" t="s">
        <v>1973</v>
      </c>
      <c r="B9" t="s">
        <v>1974</v>
      </c>
      <c r="C9" t="s">
        <v>1975</v>
      </c>
      <c r="D9" t="s">
        <v>1249</v>
      </c>
      <c r="E9" t="s">
        <v>4</v>
      </c>
      <c r="F9">
        <f>432/28</f>
        <v>15.428571428571429</v>
      </c>
      <c r="G9" t="s">
        <v>10</v>
      </c>
    </row>
    <row r="11" spans="1:7" x14ac:dyDescent="0.35">
      <c r="A11" t="s">
        <v>2063</v>
      </c>
      <c r="B11" t="s">
        <v>936</v>
      </c>
      <c r="C11" t="s">
        <v>2064</v>
      </c>
      <c r="D11" t="s">
        <v>2065</v>
      </c>
      <c r="E11" t="s">
        <v>4</v>
      </c>
      <c r="F11">
        <f>69/1.23</f>
        <v>56.09756097560976</v>
      </c>
      <c r="G11" t="s">
        <v>5</v>
      </c>
    </row>
    <row r="13" spans="1:7" x14ac:dyDescent="0.35">
      <c r="A13" t="s">
        <v>2074</v>
      </c>
      <c r="B13" t="s">
        <v>2075</v>
      </c>
      <c r="C13" t="s">
        <v>1147</v>
      </c>
      <c r="D13" t="s">
        <v>280</v>
      </c>
      <c r="E13" t="s">
        <v>4</v>
      </c>
      <c r="F13">
        <f>878/20</f>
        <v>43.9</v>
      </c>
      <c r="G13" t="s">
        <v>5</v>
      </c>
    </row>
    <row r="15" spans="1:7" x14ac:dyDescent="0.35">
      <c r="A15" t="s">
        <v>2112</v>
      </c>
      <c r="B15" t="s">
        <v>2113</v>
      </c>
      <c r="C15" t="s">
        <v>2107</v>
      </c>
      <c r="D15" t="s">
        <v>852</v>
      </c>
      <c r="E15" t="s">
        <v>4</v>
      </c>
      <c r="F15">
        <f>550/57</f>
        <v>9.6491228070175445</v>
      </c>
      <c r="G15" t="s">
        <v>10</v>
      </c>
    </row>
    <row r="17" spans="1:7" x14ac:dyDescent="0.35">
      <c r="A17" t="s">
        <v>2401</v>
      </c>
      <c r="B17" t="s">
        <v>2402</v>
      </c>
      <c r="C17" t="s">
        <v>1675</v>
      </c>
      <c r="D17" t="s">
        <v>79</v>
      </c>
      <c r="E17" t="s">
        <v>4</v>
      </c>
      <c r="F17">
        <f>130/10</f>
        <v>13</v>
      </c>
      <c r="G17" t="s">
        <v>10</v>
      </c>
    </row>
    <row r="19" spans="1:7" x14ac:dyDescent="0.35">
      <c r="A19" t="s">
        <v>2664</v>
      </c>
      <c r="B19" t="s">
        <v>2665</v>
      </c>
      <c r="C19" t="s">
        <v>1379</v>
      </c>
      <c r="D19" t="s">
        <v>178</v>
      </c>
      <c r="E19" t="s">
        <v>4</v>
      </c>
      <c r="F19">
        <f>192/15</f>
        <v>12.8</v>
      </c>
      <c r="G19" t="s">
        <v>10</v>
      </c>
    </row>
    <row r="21" spans="1:7" x14ac:dyDescent="0.35">
      <c r="A21" t="s">
        <v>2750</v>
      </c>
      <c r="B21" t="s">
        <v>2599</v>
      </c>
      <c r="C21" t="s">
        <v>973</v>
      </c>
      <c r="D21" t="s">
        <v>265</v>
      </c>
      <c r="E21" t="s">
        <v>4</v>
      </c>
      <c r="F21">
        <f>2050/45</f>
        <v>45.555555555555557</v>
      </c>
      <c r="G21" t="s">
        <v>5</v>
      </c>
    </row>
    <row r="23" spans="1:7" x14ac:dyDescent="0.35">
      <c r="A23" t="s">
        <v>2753</v>
      </c>
      <c r="B23" t="s">
        <v>2754</v>
      </c>
      <c r="C23" t="s">
        <v>2755</v>
      </c>
      <c r="D23" t="s">
        <v>2014</v>
      </c>
      <c r="E23" t="s">
        <v>4</v>
      </c>
      <c r="F23">
        <f>1730/36</f>
        <v>48.055555555555557</v>
      </c>
      <c r="G23" t="s">
        <v>5</v>
      </c>
    </row>
    <row r="25" spans="1:7" x14ac:dyDescent="0.35">
      <c r="A25" t="s">
        <v>2836</v>
      </c>
      <c r="B25" t="s">
        <v>2837</v>
      </c>
      <c r="C25" t="s">
        <v>2838</v>
      </c>
      <c r="D25" t="s">
        <v>144</v>
      </c>
      <c r="E25" t="s">
        <v>4</v>
      </c>
      <c r="F25">
        <f>404/30</f>
        <v>13.466666666666667</v>
      </c>
      <c r="G25" t="s">
        <v>10</v>
      </c>
    </row>
    <row r="27" spans="1:7" x14ac:dyDescent="0.35">
      <c r="A27" t="s">
        <v>3178</v>
      </c>
      <c r="B27" t="s">
        <v>3179</v>
      </c>
      <c r="C27" t="s">
        <v>3180</v>
      </c>
      <c r="D27" t="s">
        <v>834</v>
      </c>
      <c r="E27" t="s">
        <v>4</v>
      </c>
      <c r="F27">
        <f>1450/52</f>
        <v>27.884615384615383</v>
      </c>
      <c r="G27" t="s">
        <v>10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FEAF3-089E-4D3B-BC53-86AAC18B69C5}">
  <dimension ref="A1:G29"/>
  <sheetViews>
    <sheetView topLeftCell="A2" workbookViewId="0">
      <selection activeCell="A31" sqref="A31"/>
    </sheetView>
  </sheetViews>
  <sheetFormatPr defaultRowHeight="14.5" x14ac:dyDescent="0.35"/>
  <sheetData>
    <row r="1" spans="1:7" x14ac:dyDescent="0.35">
      <c r="A1" s="1" t="s">
        <v>478</v>
      </c>
      <c r="B1" s="1" t="s">
        <v>479</v>
      </c>
      <c r="C1" s="1" t="s">
        <v>480</v>
      </c>
      <c r="D1" s="1" t="s">
        <v>481</v>
      </c>
      <c r="E1" s="1" t="s">
        <v>4</v>
      </c>
      <c r="F1" s="1">
        <f>3850/157</f>
        <v>24.522292993630572</v>
      </c>
      <c r="G1" s="1" t="s">
        <v>10</v>
      </c>
    </row>
    <row r="3" spans="1:7" x14ac:dyDescent="0.35">
      <c r="A3" t="s">
        <v>1301</v>
      </c>
      <c r="B3" t="s">
        <v>1302</v>
      </c>
      <c r="C3" t="s">
        <v>1303</v>
      </c>
      <c r="D3" t="s">
        <v>1304</v>
      </c>
      <c r="E3" t="s">
        <v>4</v>
      </c>
      <c r="F3">
        <f>2370/69</f>
        <v>34.347826086956523</v>
      </c>
      <c r="G3" t="s">
        <v>5</v>
      </c>
    </row>
    <row r="5" spans="1:7" x14ac:dyDescent="0.35">
      <c r="A5" t="s">
        <v>1314</v>
      </c>
      <c r="B5" t="s">
        <v>1161</v>
      </c>
      <c r="C5" t="s">
        <v>1315</v>
      </c>
      <c r="D5" t="s">
        <v>309</v>
      </c>
      <c r="E5" t="s">
        <v>4</v>
      </c>
      <c r="F5">
        <f>350/17</f>
        <v>20.588235294117649</v>
      </c>
      <c r="G5" t="s">
        <v>5</v>
      </c>
    </row>
    <row r="7" spans="1:7" x14ac:dyDescent="0.35">
      <c r="A7" t="s">
        <v>1335</v>
      </c>
      <c r="B7" t="s">
        <v>1336</v>
      </c>
      <c r="C7" t="s">
        <v>1337</v>
      </c>
      <c r="D7" t="s">
        <v>178</v>
      </c>
      <c r="E7" t="s">
        <v>4</v>
      </c>
      <c r="F7">
        <f>153/15</f>
        <v>10.199999999999999</v>
      </c>
      <c r="G7" t="s">
        <v>10</v>
      </c>
    </row>
    <row r="9" spans="1:7" x14ac:dyDescent="0.35">
      <c r="A9" t="s">
        <v>2359</v>
      </c>
      <c r="B9" t="s">
        <v>2360</v>
      </c>
      <c r="C9" t="s">
        <v>2361</v>
      </c>
      <c r="D9" t="s">
        <v>352</v>
      </c>
      <c r="E9" t="s">
        <v>4</v>
      </c>
      <c r="F9">
        <f>515/18</f>
        <v>28.611111111111111</v>
      </c>
      <c r="G9" t="s">
        <v>5</v>
      </c>
    </row>
    <row r="11" spans="1:7" x14ac:dyDescent="0.35">
      <c r="A11" t="s">
        <v>2412</v>
      </c>
      <c r="B11" t="s">
        <v>2413</v>
      </c>
      <c r="C11" t="s">
        <v>2414</v>
      </c>
      <c r="D11" t="s">
        <v>2415</v>
      </c>
      <c r="E11" t="s">
        <v>4</v>
      </c>
      <c r="F11">
        <f>146450/5700</f>
        <v>25.692982456140349</v>
      </c>
      <c r="G11" t="s">
        <v>5</v>
      </c>
    </row>
    <row r="13" spans="1:7" x14ac:dyDescent="0.35">
      <c r="A13" t="s">
        <v>2488</v>
      </c>
      <c r="B13" t="s">
        <v>524</v>
      </c>
      <c r="C13" t="s">
        <v>2489</v>
      </c>
      <c r="D13" t="s">
        <v>819</v>
      </c>
      <c r="E13" t="s">
        <v>4</v>
      </c>
      <c r="F13">
        <f>540/29</f>
        <v>18.620689655172413</v>
      </c>
      <c r="G13" t="s">
        <v>10</v>
      </c>
    </row>
    <row r="15" spans="1:7" x14ac:dyDescent="0.35">
      <c r="A15" t="s">
        <v>2586</v>
      </c>
      <c r="B15" t="s">
        <v>2587</v>
      </c>
      <c r="C15" t="s">
        <v>2588</v>
      </c>
      <c r="D15" t="s">
        <v>819</v>
      </c>
      <c r="E15" t="s">
        <v>4</v>
      </c>
      <c r="F15">
        <f>705/29</f>
        <v>24.310344827586206</v>
      </c>
      <c r="G15" t="s">
        <v>10</v>
      </c>
    </row>
    <row r="17" spans="1:7" x14ac:dyDescent="0.35">
      <c r="A17" t="s">
        <v>3388</v>
      </c>
      <c r="B17" t="s">
        <v>1253</v>
      </c>
      <c r="C17" t="s">
        <v>3389</v>
      </c>
      <c r="D17" t="s">
        <v>280</v>
      </c>
      <c r="E17" t="s">
        <v>4</v>
      </c>
      <c r="F17">
        <f>1800/20</f>
        <v>90</v>
      </c>
      <c r="G17" t="s">
        <v>5</v>
      </c>
    </row>
    <row r="19" spans="1:7" x14ac:dyDescent="0.35">
      <c r="A19" t="s">
        <v>3666</v>
      </c>
      <c r="B19" t="s">
        <v>1049</v>
      </c>
      <c r="C19" t="s">
        <v>3535</v>
      </c>
      <c r="D19" t="s">
        <v>63</v>
      </c>
      <c r="E19" t="s">
        <v>4</v>
      </c>
      <c r="F19">
        <f>4500/60</f>
        <v>75</v>
      </c>
      <c r="G19" t="s">
        <v>5</v>
      </c>
    </row>
    <row r="21" spans="1:7" x14ac:dyDescent="0.35">
      <c r="A21" t="s">
        <v>3837</v>
      </c>
      <c r="B21" t="s">
        <v>3838</v>
      </c>
      <c r="C21" t="s">
        <v>3772</v>
      </c>
      <c r="D21" t="s">
        <v>280</v>
      </c>
      <c r="E21" t="s">
        <v>4</v>
      </c>
      <c r="F21">
        <f>193/20</f>
        <v>9.65</v>
      </c>
      <c r="G21" t="s">
        <v>10</v>
      </c>
    </row>
    <row r="23" spans="1:7" x14ac:dyDescent="0.35">
      <c r="A23" t="s">
        <v>3883</v>
      </c>
      <c r="B23" t="s">
        <v>429</v>
      </c>
      <c r="C23" t="s">
        <v>3884</v>
      </c>
      <c r="D23" t="s">
        <v>89</v>
      </c>
      <c r="E23" t="s">
        <v>4</v>
      </c>
      <c r="F23">
        <f>116/4</f>
        <v>29</v>
      </c>
      <c r="G23" t="s">
        <v>5</v>
      </c>
    </row>
    <row r="25" spans="1:7" x14ac:dyDescent="0.35">
      <c r="A25" t="s">
        <v>3915</v>
      </c>
      <c r="B25" t="s">
        <v>2460</v>
      </c>
      <c r="C25" t="s">
        <v>2468</v>
      </c>
      <c r="D25" t="s">
        <v>717</v>
      </c>
      <c r="E25" t="s">
        <v>4</v>
      </c>
      <c r="F25">
        <f>171/5.6</f>
        <v>30.535714285714288</v>
      </c>
      <c r="G25" t="s">
        <v>5</v>
      </c>
    </row>
    <row r="27" spans="1:7" x14ac:dyDescent="0.35">
      <c r="A27" t="s">
        <v>4211</v>
      </c>
      <c r="B27" t="s">
        <v>98</v>
      </c>
      <c r="C27" t="s">
        <v>3975</v>
      </c>
      <c r="D27" t="s">
        <v>19</v>
      </c>
      <c r="E27" t="s">
        <v>4</v>
      </c>
      <c r="F27">
        <f>123/9</f>
        <v>13.666666666666666</v>
      </c>
      <c r="G27" t="s">
        <v>10</v>
      </c>
    </row>
    <row r="29" spans="1:7" x14ac:dyDescent="0.35">
      <c r="A29" t="s">
        <v>4249</v>
      </c>
      <c r="B29" t="s">
        <v>1836</v>
      </c>
      <c r="C29" t="s">
        <v>2203</v>
      </c>
      <c r="D29" t="s">
        <v>2920</v>
      </c>
      <c r="E29" t="s">
        <v>4</v>
      </c>
      <c r="F29">
        <f>188/7.4</f>
        <v>25.405405405405403</v>
      </c>
      <c r="G29" t="s">
        <v>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EA9B5-30AE-408B-9151-4F7A8E8EC6C3}">
  <dimension ref="A1:G9"/>
  <sheetViews>
    <sheetView workbookViewId="0">
      <selection activeCell="A11" sqref="A11"/>
    </sheetView>
  </sheetViews>
  <sheetFormatPr defaultRowHeight="14.5" x14ac:dyDescent="0.35"/>
  <sheetData>
    <row r="1" spans="1:7" x14ac:dyDescent="0.35">
      <c r="A1" t="s">
        <v>769</v>
      </c>
      <c r="B1" t="s">
        <v>770</v>
      </c>
      <c r="C1" t="s">
        <v>771</v>
      </c>
      <c r="D1" t="s">
        <v>772</v>
      </c>
      <c r="E1" t="s">
        <v>4</v>
      </c>
      <c r="F1">
        <f>600/44</f>
        <v>13.636363636363637</v>
      </c>
      <c r="G1" t="s">
        <v>10</v>
      </c>
    </row>
    <row r="3" spans="1:7" x14ac:dyDescent="0.35">
      <c r="A3" t="s">
        <v>1543</v>
      </c>
      <c r="B3" t="s">
        <v>1544</v>
      </c>
      <c r="C3" t="s">
        <v>1545</v>
      </c>
      <c r="D3" t="s">
        <v>366</v>
      </c>
      <c r="E3" t="s">
        <v>4</v>
      </c>
      <c r="F3">
        <f>359/14</f>
        <v>25.642857142857142</v>
      </c>
      <c r="G3" t="s">
        <v>5</v>
      </c>
    </row>
    <row r="5" spans="1:7" x14ac:dyDescent="0.35">
      <c r="A5" t="s">
        <v>1721</v>
      </c>
      <c r="B5" t="s">
        <v>1722</v>
      </c>
      <c r="C5" t="s">
        <v>1723</v>
      </c>
      <c r="D5" t="s">
        <v>463</v>
      </c>
      <c r="E5" t="s">
        <v>4</v>
      </c>
      <c r="F5">
        <f>564/24</f>
        <v>23.5</v>
      </c>
      <c r="G5" t="s">
        <v>5</v>
      </c>
    </row>
    <row r="7" spans="1:7" x14ac:dyDescent="0.35">
      <c r="A7" t="s">
        <v>1858</v>
      </c>
      <c r="B7" t="s">
        <v>65</v>
      </c>
      <c r="C7" t="s">
        <v>563</v>
      </c>
      <c r="D7" t="s">
        <v>192</v>
      </c>
      <c r="E7" t="s">
        <v>4</v>
      </c>
      <c r="F7">
        <f>442/11</f>
        <v>40.18181818181818</v>
      </c>
      <c r="G7" t="s">
        <v>5</v>
      </c>
    </row>
    <row r="9" spans="1:7" x14ac:dyDescent="0.35">
      <c r="A9" t="s">
        <v>2823</v>
      </c>
      <c r="B9" t="s">
        <v>2824</v>
      </c>
      <c r="C9" t="s">
        <v>2825</v>
      </c>
      <c r="D9" t="s">
        <v>1304</v>
      </c>
      <c r="E9" t="s">
        <v>4</v>
      </c>
      <c r="F9">
        <f>1288/69</f>
        <v>18.666666666666668</v>
      </c>
      <c r="G9" t="s">
        <v>10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CA72A-D4C3-47D4-8428-ABD9B3B80FE0}">
  <dimension ref="A1:G8"/>
  <sheetViews>
    <sheetView workbookViewId="0">
      <selection activeCell="B8" sqref="B8"/>
    </sheetView>
  </sheetViews>
  <sheetFormatPr defaultRowHeight="14.5" x14ac:dyDescent="0.35"/>
  <sheetData>
    <row r="1" spans="1:7" x14ac:dyDescent="0.35">
      <c r="A1" t="s">
        <v>2174</v>
      </c>
      <c r="C1">
        <v>1281417</v>
      </c>
      <c r="E1">
        <f>C1*20%</f>
        <v>256283.40000000002</v>
      </c>
    </row>
    <row r="2" spans="1:7" x14ac:dyDescent="0.35">
      <c r="A2" t="s">
        <v>2175</v>
      </c>
      <c r="C2">
        <f>1709969</f>
        <v>1709969</v>
      </c>
      <c r="E2">
        <f>C2*20%</f>
        <v>341993.80000000005</v>
      </c>
    </row>
    <row r="3" spans="1:7" x14ac:dyDescent="0.35">
      <c r="A3" t="s">
        <v>2176</v>
      </c>
      <c r="C3">
        <v>2034000</v>
      </c>
      <c r="E3">
        <f>C3*20%</f>
        <v>406800</v>
      </c>
      <c r="F3">
        <f>((2500000)-C3)+E3</f>
        <v>872800</v>
      </c>
      <c r="G3" t="s">
        <v>2177</v>
      </c>
    </row>
    <row r="5" spans="1:7" x14ac:dyDescent="0.35">
      <c r="A5" t="s">
        <v>2178</v>
      </c>
      <c r="C5">
        <v>764028.4</v>
      </c>
    </row>
    <row r="8" spans="1:7" x14ac:dyDescent="0.35">
      <c r="B8">
        <f>C1+C2+C5-466000</f>
        <v>3289414.4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AGRO</vt:lpstr>
      <vt:lpstr>AUTO</vt:lpstr>
      <vt:lpstr>AUTO ANCILLARY </vt:lpstr>
      <vt:lpstr>CABLES</vt:lpstr>
      <vt:lpstr>CAPITAL MARKET</vt:lpstr>
      <vt:lpstr>CEMENT</vt:lpstr>
      <vt:lpstr>CHEMICAL</vt:lpstr>
      <vt:lpstr>DATA CENTER</vt:lpstr>
      <vt:lpstr>DEFENCE</vt:lpstr>
      <vt:lpstr>EMS</vt:lpstr>
      <vt:lpstr>ENGG</vt:lpstr>
      <vt:lpstr>FOOD</vt:lpstr>
      <vt:lpstr>FOOTWEAR</vt:lpstr>
      <vt:lpstr>FMEG</vt:lpstr>
      <vt:lpstr>FMCG</vt:lpstr>
      <vt:lpstr>GAMING</vt:lpstr>
      <vt:lpstr>HEALTHCARE</vt:lpstr>
      <vt:lpstr>HOME</vt:lpstr>
      <vt:lpstr>HOSPITALITY</vt:lpstr>
      <vt:lpstr>HR</vt:lpstr>
      <vt:lpstr>INFRA</vt:lpstr>
      <vt:lpstr>INSURANCE</vt:lpstr>
      <vt:lpstr>IT</vt:lpstr>
      <vt:lpstr>JEWELLERY</vt:lpstr>
      <vt:lpstr>LOGISTIC</vt:lpstr>
      <vt:lpstr>MACHINE</vt:lpstr>
      <vt:lpstr>MEDIA</vt:lpstr>
      <vt:lpstr>METALS</vt:lpstr>
      <vt:lpstr>MINING &amp; MATERIALS</vt:lpstr>
      <vt:lpstr>MISC</vt:lpstr>
      <vt:lpstr>NBFC</vt:lpstr>
      <vt:lpstr>OIL &amp; GAS</vt:lpstr>
      <vt:lpstr>PACKAGING</vt:lpstr>
      <vt:lpstr>PAINT</vt:lpstr>
      <vt:lpstr>PAPER</vt:lpstr>
      <vt:lpstr>PHARMA</vt:lpstr>
      <vt:lpstr>PLASTIC</vt:lpstr>
      <vt:lpstr>PIPES</vt:lpstr>
      <vt:lpstr>POWER</vt:lpstr>
      <vt:lpstr>PVT BANK</vt:lpstr>
      <vt:lpstr>PSU BANK</vt:lpstr>
      <vt:lpstr>PUMPS</vt:lpstr>
      <vt:lpstr>RAILWAY</vt:lpstr>
      <vt:lpstr>REALTY</vt:lpstr>
      <vt:lpstr>RENEWABLE</vt:lpstr>
      <vt:lpstr>RETAIL</vt:lpstr>
      <vt:lpstr>SIN STOCKS</vt:lpstr>
      <vt:lpstr>SUGAR</vt:lpstr>
      <vt:lpstr>TEA &amp; COFFEE</vt:lpstr>
      <vt:lpstr>TEXTILE</vt:lpstr>
      <vt:lpstr>TELECOM</vt:lpstr>
      <vt:lpstr>TYRE</vt:lpstr>
      <vt:lpstr>WASTE MANAGEMENT</vt:lpstr>
      <vt:lpstr>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srigopal bajaj</dc:creator>
  <cp:lastModifiedBy>srigopal bajaj</cp:lastModifiedBy>
  <dcterms:created xsi:type="dcterms:W3CDTF">2015-06-05T18:17:20Z</dcterms:created>
  <dcterms:modified xsi:type="dcterms:W3CDTF">2026-02-18T19:25:12Z</dcterms:modified>
</cp:coreProperties>
</file>